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Cobalt Rain" sheetId="2" state="visible" r:id="rId2"/>
    <sheet xmlns:r="http://schemas.openxmlformats.org/officeDocument/2006/relationships" name="Seltas Lluvia" sheetId="3" state="visible" r:id="rId3"/>
    <sheet xmlns:r="http://schemas.openxmlformats.org/officeDocument/2006/relationships" name="Nerscylla Tormenta" sheetId="4" state="visible" r:id="rId4"/>
    <sheet xmlns:r="http://schemas.openxmlformats.org/officeDocument/2006/relationships" name="Mantis Reina" sheetId="5" state="visible" r:id="rId5"/>
  </sheets>
  <definedNames/>
  <calcPr calcId="124519" fullCalcOnLoad="1"/>
</workbook>
</file>

<file path=xl/styles.xml><?xml version="1.0" encoding="utf-8"?>
<styleSheet xmlns="http://schemas.openxmlformats.org/spreadsheetml/2006/main">
  <numFmts count="1">
    <numFmt numFmtId="164" formatCode="m/d"/>
  </numFmts>
  <fonts count="8">
    <font>
      <name val="Arial"/>
      <color rgb="FF000000"/>
      <sz val="10"/>
      <scheme val="minor"/>
    </font>
    <font>
      <name val="Arial"/>
      <b val="1"/>
      <color theme="1"/>
    </font>
    <font>
      <name val="Arial"/>
      <color theme="1"/>
    </font>
    <font/>
    <font>
      <name val="Arial"/>
      <b val="1"/>
      <color theme="1"/>
      <u val="single"/>
    </font>
    <font>
      <name val="Arial"/>
      <color theme="1"/>
      <scheme val="minor"/>
    </font>
    <font>
      <name val="Arial"/>
      <b val="1"/>
      <color theme="1"/>
      <scheme val="minor"/>
    </font>
    <font>
      <name val="Arial"/>
      <i val="1"/>
      <color theme="1"/>
      <scheme val="minor"/>
    </font>
  </fonts>
  <fills count="9">
    <fill>
      <patternFill/>
    </fill>
    <fill>
      <patternFill patternType="lightGray"/>
    </fill>
    <fill>
      <patternFill patternType="solid">
        <fgColor rgb="FFF4CCCC"/>
        <bgColor rgb="FFF4CCCC"/>
      </patternFill>
    </fill>
    <fill>
      <patternFill patternType="solid">
        <fgColor rgb="FFE06666"/>
        <bgColor rgb="FFE06666"/>
      </patternFill>
    </fill>
    <fill>
      <patternFill patternType="solid">
        <fgColor rgb="FF990000"/>
        <bgColor rgb="FF990000"/>
      </patternFill>
    </fill>
    <fill>
      <patternFill patternType="solid">
        <fgColor rgb="FFEFEFEF"/>
        <bgColor rgb="FFEFEFEF"/>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1">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
      <right style="thin">
        <color rgb="FF000000"/>
      </right>
      <top style="thin">
        <color rgb="FF000000"/>
      </top>
    </border>
  </borders>
  <cellStyleXfs count="1">
    <xf numFmtId="0" fontId="0" fillId="0" borderId="0"/>
  </cellStyleXfs>
  <cellXfs count="83">
    <xf numFmtId="0" fontId="0" fillId="0" borderId="0" applyAlignment="1" pivotButton="0" quotePrefix="0" xfId="0">
      <alignment vertical="bottom"/>
    </xf>
    <xf numFmtId="0" fontId="1" fillId="2" borderId="0" applyAlignment="1" pivotButton="0" quotePrefix="0" xfId="0">
      <alignment vertical="bottom"/>
    </xf>
    <xf numFmtId="0" fontId="1" fillId="2" borderId="0" applyAlignment="1" pivotButton="0" quotePrefix="0" xfId="0">
      <alignment horizontal="center" vertical="bottom"/>
    </xf>
    <xf numFmtId="9" fontId="2" fillId="2" borderId="0" applyAlignment="1" pivotButton="0" quotePrefix="0" xfId="0">
      <alignment horizontal="right" vertical="bottom"/>
    </xf>
    <xf numFmtId="0" fontId="2" fillId="0" borderId="0" applyAlignment="1" pivotButton="0" quotePrefix="0" xfId="0">
      <alignment vertical="bottom"/>
    </xf>
    <xf numFmtId="1" fontId="2" fillId="3" borderId="1" applyAlignment="1" pivotButton="0" quotePrefix="0" xfId="0">
      <alignment horizontal="center" vertical="bottom"/>
    </xf>
    <xf numFmtId="1" fontId="2" fillId="4" borderId="1" applyAlignment="1" pivotButton="0" quotePrefix="0" xfId="0">
      <alignment horizontal="center" vertical="bottom"/>
    </xf>
    <xf numFmtId="0" fontId="1" fillId="0" borderId="2" applyAlignment="1" pivotButton="0" quotePrefix="0" xfId="0">
      <alignment vertical="bottom"/>
    </xf>
    <xf numFmtId="0" fontId="3" fillId="0" borderId="3" pivotButton="0" quotePrefix="0" xfId="0"/>
    <xf numFmtId="0" fontId="3" fillId="0" borderId="4" pivotButton="0" quotePrefix="0" xfId="0"/>
    <xf numFmtId="0" fontId="2" fillId="0" borderId="0" applyAlignment="1" pivotButton="0" quotePrefix="0" xfId="0">
      <alignment vertical="bottom"/>
    </xf>
    <xf numFmtId="0" fontId="4" fillId="0" borderId="0" applyAlignment="1" pivotButton="0" quotePrefix="0" xfId="0">
      <alignment vertical="bottom"/>
    </xf>
    <xf numFmtId="0" fontId="2" fillId="0" borderId="0" applyAlignment="1" pivotButton="0" quotePrefix="0" xfId="0">
      <alignment horizontal="center" vertical="bottom"/>
    </xf>
    <xf numFmtId="0" fontId="2" fillId="5" borderId="5" applyAlignment="1" pivotButton="0" quotePrefix="0" xfId="0">
      <alignment vertical="bottom"/>
    </xf>
    <xf numFmtId="0" fontId="2" fillId="0" borderId="5" applyAlignment="1" pivotButton="0" quotePrefix="0" xfId="0">
      <alignment vertical="bottom"/>
    </xf>
    <xf numFmtId="0" fontId="2" fillId="5" borderId="6" applyAlignment="1" pivotButton="0" quotePrefix="0" xfId="0">
      <alignment vertical="bottom"/>
    </xf>
    <xf numFmtId="0" fontId="1" fillId="0" borderId="7" applyAlignment="1" pivotButton="0" quotePrefix="0" xfId="0">
      <alignment vertical="bottom"/>
    </xf>
    <xf numFmtId="0" fontId="2" fillId="5" borderId="1" applyAlignment="1" pivotButton="0" quotePrefix="0" xfId="0">
      <alignment vertical="bottom"/>
    </xf>
    <xf numFmtId="0" fontId="2" fillId="0" borderId="1" applyAlignment="1" pivotButton="0" quotePrefix="0" xfId="0">
      <alignment vertical="bottom"/>
    </xf>
    <xf numFmtId="0" fontId="2" fillId="0" borderId="0" applyAlignment="1" pivotButton="0" quotePrefix="0" xfId="0">
      <alignment horizontal="right" vertical="bottom"/>
    </xf>
    <xf numFmtId="0" fontId="2" fillId="0" borderId="0" applyAlignment="1" pivotButton="0" quotePrefix="0" xfId="0">
      <alignment horizontal="right" vertical="bottom"/>
    </xf>
    <xf numFmtId="0" fontId="2" fillId="0" borderId="7" applyAlignment="1" pivotButton="0" quotePrefix="0" xfId="0">
      <alignment vertical="bottom"/>
    </xf>
    <xf numFmtId="0" fontId="5" fillId="0" borderId="7" pivotButton="0" quotePrefix="0" xfId="0"/>
    <xf numFmtId="0" fontId="6" fillId="0" borderId="2" pivotButton="0" quotePrefix="0" xfId="0"/>
    <xf numFmtId="0" fontId="6" fillId="0" borderId="0" pivotButton="0" quotePrefix="0" xfId="0"/>
    <xf numFmtId="0" fontId="5" fillId="0" borderId="7" pivotButton="0" quotePrefix="0" xfId="0"/>
    <xf numFmtId="0" fontId="1" fillId="0" borderId="0" applyAlignment="1" pivotButton="0" quotePrefix="0" xfId="0">
      <alignment vertical="bottom"/>
    </xf>
    <xf numFmtId="0" fontId="5" fillId="0" borderId="0" pivotButton="0" quotePrefix="0" xfId="0"/>
    <xf numFmtId="0" fontId="2" fillId="0" borderId="0" applyAlignment="1" pivotButton="0" quotePrefix="0" xfId="0">
      <alignment vertical="bottom"/>
    </xf>
    <xf numFmtId="0" fontId="2" fillId="0" borderId="6" applyAlignment="1" pivotButton="0" quotePrefix="0" xfId="0">
      <alignment vertical="bottom"/>
    </xf>
    <xf numFmtId="0" fontId="6" fillId="6" borderId="0" pivotButton="0" quotePrefix="0" xfId="0"/>
    <xf numFmtId="0" fontId="5" fillId="7" borderId="0" pivotButton="0" quotePrefix="0" xfId="0"/>
    <xf numFmtId="0" fontId="2" fillId="0" borderId="1" applyAlignment="1" pivotButton="0" quotePrefix="0" xfId="0">
      <alignment vertical="bottom"/>
    </xf>
    <xf numFmtId="0" fontId="2" fillId="5" borderId="1" applyAlignment="1" pivotButton="0" quotePrefix="0" xfId="0">
      <alignment vertical="bottom"/>
    </xf>
    <xf numFmtId="0" fontId="5" fillId="7" borderId="0" applyAlignment="1" pivotButton="0" quotePrefix="0" xfId="0">
      <alignment wrapText="1"/>
    </xf>
    <xf numFmtId="0" fontId="5" fillId="7" borderId="0" applyAlignment="1" pivotButton="0" quotePrefix="0" xfId="0">
      <alignment wrapText="1"/>
    </xf>
    <xf numFmtId="0" fontId="5" fillId="8" borderId="0" pivotButton="0" quotePrefix="0" xfId="0"/>
    <xf numFmtId="0" fontId="5" fillId="8" borderId="0" applyAlignment="1" pivotButton="0" quotePrefix="0" xfId="0">
      <alignment wrapText="1"/>
    </xf>
    <xf numFmtId="0" fontId="5" fillId="8" borderId="0" applyAlignment="1" pivotButton="0" quotePrefix="0" xfId="0">
      <alignment wrapText="1"/>
    </xf>
    <xf numFmtId="0" fontId="7" fillId="7" borderId="0" applyAlignment="1" pivotButton="0" quotePrefix="0" xfId="0">
      <alignment wrapText="1"/>
    </xf>
    <xf numFmtId="0" fontId="6" fillId="6" borderId="0" applyAlignment="1" pivotButton="0" quotePrefix="0" xfId="0">
      <alignment wrapText="1"/>
    </xf>
    <xf numFmtId="0" fontId="5" fillId="7" borderId="3" pivotButton="0" quotePrefix="0" xfId="0"/>
    <xf numFmtId="0" fontId="3" fillId="7" borderId="3" pivotButton="0" quotePrefix="0" xfId="0"/>
    <xf numFmtId="0" fontId="5" fillId="7" borderId="3" applyAlignment="1" pivotButton="0" quotePrefix="0" xfId="0">
      <alignment wrapText="1"/>
    </xf>
    <xf numFmtId="0" fontId="5" fillId="7" borderId="0" pivotButton="0" quotePrefix="0" xfId="0"/>
    <xf numFmtId="0" fontId="2" fillId="8" borderId="0" applyAlignment="1" pivotButton="0" quotePrefix="0" xfId="0">
      <alignment vertical="bottom"/>
    </xf>
    <xf numFmtId="0" fontId="2" fillId="8" borderId="0" applyAlignment="1" pivotButton="0" quotePrefix="0" xfId="0">
      <alignment horizontal="right" vertical="bottom"/>
    </xf>
    <xf numFmtId="0" fontId="2" fillId="8" borderId="0" applyAlignment="1" pivotButton="0" quotePrefix="0" xfId="0">
      <alignment vertical="bottom"/>
    </xf>
    <xf numFmtId="0" fontId="2" fillId="8" borderId="0" applyAlignment="1" pivotButton="0" quotePrefix="0" xfId="0">
      <alignment vertical="bottom"/>
    </xf>
    <xf numFmtId="0" fontId="2" fillId="8" borderId="0" applyAlignment="1" pivotButton="0" quotePrefix="0" xfId="0">
      <alignment vertical="bottom" wrapText="1"/>
    </xf>
    <xf numFmtId="0" fontId="1" fillId="8" borderId="0" applyAlignment="1" pivotButton="0" quotePrefix="0" xfId="0">
      <alignment vertical="bottom"/>
    </xf>
    <xf numFmtId="49" fontId="2" fillId="8" borderId="0" applyAlignment="1" pivotButton="0" quotePrefix="0" xfId="0">
      <alignment horizontal="right" vertical="bottom"/>
    </xf>
    <xf numFmtId="0" fontId="5" fillId="7" borderId="8" pivotButton="0" quotePrefix="0" xfId="0"/>
    <xf numFmtId="0" fontId="3" fillId="7" borderId="8" pivotButton="0" quotePrefix="0" xfId="0"/>
    <xf numFmtId="0" fontId="5" fillId="7" borderId="8" pivotButton="0" quotePrefix="0" xfId="0"/>
    <xf numFmtId="0" fontId="5" fillId="7" borderId="8" applyAlignment="1" pivotButton="0" quotePrefix="0" xfId="0">
      <alignment wrapText="1"/>
    </xf>
    <xf numFmtId="0" fontId="5" fillId="7" borderId="8" applyAlignment="1" pivotButton="0" quotePrefix="0" xfId="0">
      <alignment wrapText="1"/>
    </xf>
    <xf numFmtId="0" fontId="5" fillId="0" borderId="8" pivotButton="0" quotePrefix="0" xfId="0"/>
    <xf numFmtId="49" fontId="5" fillId="8" borderId="0" pivotButton="0" quotePrefix="0" xfId="0"/>
    <xf numFmtId="0" fontId="2" fillId="7" borderId="8" applyAlignment="1" pivotButton="0" quotePrefix="0" xfId="0">
      <alignment vertical="bottom"/>
    </xf>
    <xf numFmtId="0" fontId="2" fillId="7" borderId="8" applyAlignment="1" pivotButton="0" quotePrefix="0" xfId="0">
      <alignment horizontal="right" vertical="bottom"/>
    </xf>
    <xf numFmtId="0" fontId="2" fillId="7" borderId="8" applyAlignment="1" pivotButton="0" quotePrefix="0" xfId="0">
      <alignment vertical="bottom"/>
    </xf>
    <xf numFmtId="0" fontId="2" fillId="7" borderId="8" applyAlignment="1" pivotButton="0" quotePrefix="0" xfId="0">
      <alignment vertical="bottom" wrapText="1"/>
    </xf>
    <xf numFmtId="0" fontId="2" fillId="7" borderId="8" applyAlignment="1" pivotButton="0" quotePrefix="0" xfId="0">
      <alignment vertical="bottom"/>
    </xf>
    <xf numFmtId="0" fontId="2" fillId="0" borderId="8" applyAlignment="1" pivotButton="0" quotePrefix="0" xfId="0">
      <alignment vertical="bottom"/>
    </xf>
    <xf numFmtId="164" fontId="5" fillId="7" borderId="0" pivotButton="0" quotePrefix="0" xfId="0"/>
    <xf numFmtId="0" fontId="5" fillId="7" borderId="9" pivotButton="0" quotePrefix="0" xfId="0"/>
    <xf numFmtId="0" fontId="3" fillId="7" borderId="9" pivotButton="0" quotePrefix="0" xfId="0"/>
    <xf numFmtId="0" fontId="5" fillId="7" borderId="9" applyAlignment="1" pivotButton="0" quotePrefix="0" xfId="0">
      <alignment wrapText="1"/>
    </xf>
    <xf numFmtId="0" fontId="5" fillId="7" borderId="9" applyAlignment="1" pivotButton="0" quotePrefix="0" xfId="0">
      <alignment wrapText="1"/>
    </xf>
    <xf numFmtId="0" fontId="5" fillId="0" borderId="9" pivotButton="0" quotePrefix="0" xfId="0"/>
    <xf numFmtId="164" fontId="5" fillId="8" borderId="0" pivotButton="0" quotePrefix="0" xfId="0"/>
    <xf numFmtId="0" fontId="5" fillId="8" borderId="9" pivotButton="0" quotePrefix="0" xfId="0"/>
    <xf numFmtId="0" fontId="3" fillId="8" borderId="9" pivotButton="0" quotePrefix="0" xfId="0"/>
    <xf numFmtId="0" fontId="5" fillId="8" borderId="9" applyAlignment="1" pivotButton="0" quotePrefix="0" xfId="0">
      <alignment wrapText="1"/>
    </xf>
    <xf numFmtId="0" fontId="5" fillId="7" borderId="0" pivotButton="0" quotePrefix="0" xfId="0"/>
    <xf numFmtId="0" fontId="5" fillId="7" borderId="0" applyAlignment="1" pivotButton="0" quotePrefix="0" xfId="0">
      <alignment wrapText="1"/>
    </xf>
    <xf numFmtId="0" fontId="0" fillId="0" borderId="0" pivotButton="0" quotePrefix="0" xfId="0"/>
    <xf numFmtId="0" fontId="0" fillId="0" borderId="3" pivotButton="0" quotePrefix="0" xfId="0"/>
    <xf numFmtId="0" fontId="0" fillId="0" borderId="4" pivotButton="0" quotePrefix="0" xfId="0"/>
    <xf numFmtId="0" fontId="6" fillId="0" borderId="7" pivotButton="0" quotePrefix="0" xfId="0"/>
    <xf numFmtId="0" fontId="0" fillId="0" borderId="8" pivotButton="0" quotePrefix="0" xfId="0"/>
    <xf numFmtId="0" fontId="0" fillId="0" borderId="9" pivotButton="0" quotePrefix="0" xfId="0"/>
  </cellXfs>
  <cellStyles count="1">
    <cellStyle name="Normal" xfId="0" builtinId="0"/>
  </cellStyles>
  <dxfs count="2">
    <dxf>
      <font/>
      <fill>
        <patternFill/>
      </fill>
      <border/>
    </dxf>
    <dxf>
      <font/>
      <fill>
        <patternFill patternType="solid">
          <fgColor rgb="FFEA4335"/>
          <bgColor rgb="FFEA4335"/>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U27"/>
  <sheetViews>
    <sheetView workbookViewId="0">
      <pane ySplit="8" topLeftCell="A9" activePane="bottomLeft" state="frozen"/>
      <selection pane="bottomLeft" activeCell="B10" sqref="B10"/>
    </sheetView>
  </sheetViews>
  <sheetFormatPr baseColWidth="8" defaultColWidth="12.63" defaultRowHeight="15.75" customHeight="1"/>
  <cols>
    <col width="5.63" customWidth="1" style="77" min="1" max="1"/>
    <col width="7.63" customWidth="1" style="77" min="2" max="2"/>
    <col width="5.75" customWidth="1" style="77" min="3" max="3"/>
    <col width="6.38" customWidth="1" style="77" min="4" max="4"/>
    <col width="6.5" customWidth="1" style="77" min="5" max="5"/>
    <col width="4.5" customWidth="1" style="77" min="6" max="16"/>
    <col width="4.75" customWidth="1" style="77" min="17" max="17"/>
    <col width="4.25" customWidth="1" style="77" min="18" max="18"/>
    <col width="4.88" customWidth="1" style="77" min="19" max="19"/>
    <col width="4.5" customWidth="1" style="77" min="20" max="47"/>
  </cols>
  <sheetData>
    <row r="1">
      <c r="A1" s="1" t="inlineStr">
        <is>
          <t xml:space="preserve">PS </t>
        </is>
      </c>
      <c r="B1" s="2" t="n">
        <v>100</v>
      </c>
      <c r="C1" s="2" t="n">
        <v>100</v>
      </c>
      <c r="D1" s="3">
        <f>B1/C1</f>
        <v/>
      </c>
      <c r="E1" s="28" t="n"/>
      <c r="F1" s="5">
        <f>C1*0.1</f>
        <v/>
      </c>
      <c r="G1" s="6">
        <f>C1*0.2</f>
        <v/>
      </c>
      <c r="H1" s="6">
        <f>C1*0.3</f>
        <v/>
      </c>
      <c r="I1" s="6">
        <f>C1*0.4</f>
        <v/>
      </c>
      <c r="J1" s="6">
        <f>C1*0.5</f>
        <v/>
      </c>
      <c r="K1" s="6">
        <f>C1*0.6</f>
        <v/>
      </c>
      <c r="L1" s="6">
        <f>C1*0.7</f>
        <v/>
      </c>
      <c r="M1" s="6">
        <f>C1*0.8</f>
        <v/>
      </c>
      <c r="N1" s="6">
        <f>C1*0.9</f>
        <v/>
      </c>
      <c r="O1" s="6">
        <f>C1</f>
        <v/>
      </c>
      <c r="P1" s="28" t="n"/>
      <c r="Q1" s="16" t="inlineStr">
        <is>
          <t>RESISTANCES</t>
        </is>
      </c>
      <c r="R1" s="78" t="n"/>
      <c r="S1" s="78" t="n"/>
      <c r="T1" s="78" t="n"/>
      <c r="U1" s="78" t="n"/>
      <c r="V1" s="78" t="n"/>
      <c r="W1" s="78" t="n"/>
      <c r="X1" s="78" t="n"/>
      <c r="Y1" s="78" t="n"/>
      <c r="Z1" s="78" t="n"/>
      <c r="AA1" s="78" t="n"/>
      <c r="AB1" s="78" t="n"/>
      <c r="AC1" s="79" t="n"/>
      <c r="AD1" s="28" t="n"/>
      <c r="AE1" s="28" t="n"/>
      <c r="AF1" s="28" t="n"/>
      <c r="AG1" s="11" t="n"/>
      <c r="AH1" s="28" t="n"/>
      <c r="AI1" s="28" t="n"/>
      <c r="AJ1" s="28" t="n"/>
      <c r="AK1" s="28" t="n"/>
      <c r="AL1" s="28" t="n"/>
      <c r="AM1" s="28" t="n"/>
      <c r="AN1" s="28" t="n"/>
      <c r="AO1" s="28" t="n"/>
      <c r="AP1" s="28" t="n"/>
      <c r="AQ1" s="28" t="n"/>
      <c r="AR1" s="28" t="n"/>
      <c r="AS1" s="28" t="n"/>
      <c r="AT1" s="28" t="n"/>
      <c r="AU1" s="28" t="n"/>
    </row>
    <row r="2" ht="17.25" customHeight="1" s="77">
      <c r="A2" s="28" t="n"/>
      <c r="B2" s="28" t="n"/>
      <c r="C2" s="28" t="n"/>
      <c r="D2" s="28" t="n"/>
      <c r="E2" s="28" t="n"/>
      <c r="F2" s="12" t="inlineStr">
        <is>
          <t>Barra de PS</t>
        </is>
      </c>
      <c r="P2" s="28" t="n"/>
      <c r="Q2" s="13" t="inlineStr">
        <is>
          <t>Slash</t>
        </is>
      </c>
      <c r="R2" s="14" t="inlineStr">
        <is>
          <t>Pier</t>
        </is>
      </c>
      <c r="S2" s="13" t="inlineStr">
        <is>
          <t>Bludg</t>
        </is>
      </c>
      <c r="T2" s="14" t="inlineStr">
        <is>
          <t>Fire</t>
        </is>
      </c>
      <c r="U2" s="13" t="inlineStr">
        <is>
          <t>Cold</t>
        </is>
      </c>
      <c r="V2" s="14" t="inlineStr">
        <is>
          <t>Light</t>
        </is>
      </c>
      <c r="W2" s="13" t="inlineStr">
        <is>
          <t>Thun</t>
        </is>
      </c>
      <c r="X2" s="14" t="inlineStr">
        <is>
          <t>Pois</t>
        </is>
      </c>
      <c r="Y2" s="13" t="inlineStr">
        <is>
          <t>Acid</t>
        </is>
      </c>
      <c r="Z2" s="14" t="inlineStr">
        <is>
          <t>Rad</t>
        </is>
      </c>
      <c r="AA2" s="13" t="inlineStr">
        <is>
          <t>Nec</t>
        </is>
      </c>
      <c r="AB2" s="14" t="inlineStr">
        <is>
          <t>Psi</t>
        </is>
      </c>
      <c r="AC2" s="15" t="inlineStr">
        <is>
          <t>Forc</t>
        </is>
      </c>
      <c r="AD2" s="28" t="n"/>
      <c r="AE2" s="28" t="n"/>
      <c r="AF2" s="28" t="n"/>
      <c r="AG2" s="28" t="n"/>
      <c r="AH2" s="28" t="n"/>
      <c r="AI2" s="28" t="n"/>
      <c r="AJ2" s="28" t="n"/>
      <c r="AK2" s="28" t="n"/>
      <c r="AL2" s="28" t="n"/>
      <c r="AM2" s="28" t="n"/>
      <c r="AN2" s="28" t="n"/>
      <c r="AO2" s="28" t="n"/>
      <c r="AP2" s="28" t="n"/>
      <c r="AQ2" s="28" t="n"/>
      <c r="AR2" s="28" t="n"/>
      <c r="AS2" s="28" t="n"/>
      <c r="AT2" s="28" t="n"/>
      <c r="AU2" s="28" t="n"/>
    </row>
    <row r="3" ht="16.5" customHeight="1" s="77">
      <c r="A3" s="16" t="inlineStr">
        <is>
          <t>Speed</t>
        </is>
      </c>
      <c r="B3" s="16" t="inlineStr">
        <is>
          <t>Initiative</t>
        </is>
      </c>
      <c r="C3" s="16" t="inlineStr">
        <is>
          <t>SSDC</t>
        </is>
      </c>
      <c r="D3" s="16" t="inlineStr">
        <is>
          <t>AC</t>
        </is>
      </c>
      <c r="E3" s="28" t="n"/>
      <c r="F3" s="28" t="n"/>
      <c r="G3" s="28" t="n"/>
      <c r="H3" s="28" t="n"/>
      <c r="I3" s="28" t="n"/>
      <c r="J3" s="28" t="n"/>
      <c r="K3" s="28" t="n"/>
      <c r="L3" s="28" t="n"/>
      <c r="M3" s="28" t="n"/>
      <c r="N3" s="28" t="n"/>
      <c r="O3" s="28" t="n"/>
      <c r="P3" s="28" t="n"/>
      <c r="Q3" s="33" t="n"/>
      <c r="R3" s="32" t="n"/>
      <c r="S3" s="33" t="n"/>
      <c r="T3" s="32" t="n"/>
      <c r="U3" s="33" t="n"/>
      <c r="V3" s="32" t="n"/>
      <c r="W3" s="33" t="n"/>
      <c r="X3" s="32" t="n"/>
      <c r="Y3" s="33" t="n"/>
      <c r="Z3" s="32" t="n"/>
      <c r="AA3" s="33" t="n"/>
      <c r="AB3" s="32" t="n"/>
      <c r="AC3" s="33" t="n"/>
      <c r="AD3" s="28" t="n"/>
      <c r="AE3" s="28" t="n"/>
      <c r="AF3" s="28" t="n"/>
      <c r="AG3" s="20" t="n"/>
      <c r="AH3" s="20" t="n"/>
      <c r="AI3" s="20" t="n"/>
      <c r="AJ3" s="20" t="n"/>
      <c r="AK3" s="20" t="n"/>
      <c r="AL3" s="28" t="n"/>
      <c r="AM3" s="28" t="n"/>
      <c r="AN3" s="28" t="n"/>
      <c r="AO3" s="28" t="n"/>
      <c r="AP3" s="28" t="n"/>
      <c r="AQ3" s="28" t="n"/>
      <c r="AR3" s="28" t="n"/>
      <c r="AS3" s="28" t="n"/>
      <c r="AT3" s="28" t="n"/>
      <c r="AU3" s="28" t="n"/>
    </row>
    <row r="4">
      <c r="A4" s="21" t="inlineStr">
        <is>
          <t>5 - 30ft</t>
        </is>
      </c>
      <c r="B4" s="25" t="n"/>
      <c r="C4" s="25" t="n">
        <v>17</v>
      </c>
      <c r="D4" s="25" t="n">
        <v>16</v>
      </c>
      <c r="F4" s="80" t="inlineStr">
        <is>
          <t>STATS</t>
        </is>
      </c>
      <c r="G4" s="78" t="n"/>
      <c r="H4" s="78" t="n"/>
      <c r="I4" s="78" t="n"/>
      <c r="J4" s="78" t="n"/>
      <c r="K4" s="78" t="n"/>
      <c r="L4" s="79" t="n"/>
      <c r="M4" s="24" t="n"/>
      <c r="N4" s="24" t="n"/>
      <c r="O4" s="24" t="n"/>
      <c r="P4" s="28" t="n"/>
      <c r="Q4" s="28" t="n"/>
      <c r="R4" s="28" t="n"/>
      <c r="S4" s="28" t="n"/>
      <c r="T4" s="28" t="n"/>
      <c r="U4" s="28" t="n"/>
      <c r="V4" s="28" t="n"/>
      <c r="W4" s="28" t="n"/>
      <c r="X4" s="28" t="n"/>
      <c r="Y4" s="28" t="n"/>
      <c r="Z4" s="28" t="n"/>
      <c r="AA4" s="28" t="n"/>
      <c r="AB4" s="28" t="n"/>
      <c r="AC4" s="28" t="n"/>
      <c r="AD4" s="28" t="n"/>
      <c r="AE4" s="28" t="n"/>
      <c r="AF4" s="28" t="n"/>
      <c r="AG4" s="28" t="n"/>
      <c r="AH4" s="28" t="n"/>
      <c r="AI4" s="28" t="n"/>
      <c r="AJ4" s="28" t="n"/>
      <c r="AK4" s="28" t="n"/>
      <c r="AL4" s="28" t="n"/>
      <c r="AM4" s="28" t="n"/>
      <c r="AN4" s="28" t="n"/>
      <c r="AO4" s="28" t="n"/>
      <c r="AP4" s="28" t="n"/>
      <c r="AQ4" s="28" t="n"/>
      <c r="AR4" s="28" t="n"/>
      <c r="AS4" s="28" t="n"/>
      <c r="AT4" s="28" t="n"/>
      <c r="AU4" s="28" t="n"/>
    </row>
    <row r="5">
      <c r="F5" s="25" t="n"/>
      <c r="G5" s="25" t="inlineStr">
        <is>
          <t>CON</t>
        </is>
      </c>
      <c r="H5" s="25" t="inlineStr">
        <is>
          <t>STR</t>
        </is>
      </c>
      <c r="I5" s="25" t="inlineStr">
        <is>
          <t>DEX</t>
        </is>
      </c>
      <c r="J5" s="25" t="inlineStr">
        <is>
          <t>WIS</t>
        </is>
      </c>
      <c r="K5" s="25" t="inlineStr">
        <is>
          <t>INT</t>
        </is>
      </c>
      <c r="L5" s="25" t="inlineStr">
        <is>
          <t>CAR</t>
        </is>
      </c>
      <c r="P5" s="28" t="n"/>
      <c r="Q5" s="26" t="inlineStr">
        <is>
          <t>IMMUNITIES</t>
        </is>
      </c>
      <c r="T5" s="26" t="n"/>
      <c r="AD5" s="28" t="n"/>
      <c r="AE5" s="28" t="n"/>
      <c r="AF5" s="28" t="n"/>
      <c r="AG5" s="28" t="n"/>
      <c r="AH5" s="28" t="n"/>
      <c r="AI5" s="28" t="n"/>
      <c r="AJ5" s="28" t="n"/>
      <c r="AK5" s="28" t="n"/>
      <c r="AL5" s="28" t="n"/>
      <c r="AM5" s="28" t="n"/>
      <c r="AN5" s="28" t="n"/>
      <c r="AO5" s="28" t="n"/>
      <c r="AP5" s="28" t="n"/>
      <c r="AQ5" s="28" t="n"/>
      <c r="AR5" s="28" t="n"/>
      <c r="AS5" s="28" t="n"/>
      <c r="AT5" s="28" t="n"/>
      <c r="AU5" s="28" t="n"/>
    </row>
    <row r="6">
      <c r="B6" s="27" t="n"/>
      <c r="D6" s="25" t="inlineStr">
        <is>
          <t>MartDC</t>
        </is>
      </c>
      <c r="F6" s="25" t="inlineStr">
        <is>
          <t>Plus</t>
        </is>
      </c>
      <c r="G6" s="25" t="n"/>
      <c r="H6" s="25" t="n"/>
      <c r="I6" s="25" t="n"/>
      <c r="J6" s="25" t="n"/>
      <c r="K6" s="25" t="n"/>
      <c r="L6" s="25" t="n"/>
      <c r="P6" s="28" t="n"/>
      <c r="Q6" s="26" t="inlineStr">
        <is>
          <t>SENSES</t>
        </is>
      </c>
      <c r="T6" s="28" t="n"/>
      <c r="AD6" s="28" t="n"/>
      <c r="AE6" s="28" t="n"/>
      <c r="AF6" s="28" t="n"/>
      <c r="AG6" s="28" t="n"/>
      <c r="AH6" s="28" t="n"/>
      <c r="AI6" s="28" t="n"/>
      <c r="AJ6" s="28" t="n"/>
      <c r="AK6" s="28" t="n"/>
      <c r="AL6" s="28" t="n"/>
      <c r="AM6" s="28" t="n"/>
      <c r="AN6" s="28" t="n"/>
      <c r="AO6" s="28" t="n"/>
      <c r="AP6" s="28" t="n"/>
      <c r="AQ6" s="28" t="n"/>
      <c r="AR6" s="28" t="n"/>
      <c r="AS6" s="28" t="n"/>
      <c r="AT6" s="28" t="n"/>
      <c r="AU6" s="28" t="n"/>
    </row>
    <row r="7">
      <c r="A7" s="27" t="n"/>
      <c r="D7" s="25" t="n">
        <v>14</v>
      </c>
      <c r="F7" s="25" t="inlineStr">
        <is>
          <t>Save</t>
        </is>
      </c>
      <c r="G7" s="25" t="n"/>
      <c r="H7" s="25" t="n"/>
      <c r="I7" s="25" t="n"/>
      <c r="J7" s="25" t="n"/>
      <c r="K7" s="25" t="n"/>
      <c r="L7" s="25" t="n"/>
      <c r="P7" s="28" t="n"/>
      <c r="Q7" s="26" t="inlineStr">
        <is>
          <t>LANGUAGES</t>
        </is>
      </c>
      <c r="T7" s="28" t="n"/>
      <c r="AD7" s="28" t="n"/>
      <c r="AE7" s="28" t="n"/>
      <c r="AF7" s="28" t="n"/>
      <c r="AG7" s="28" t="n"/>
      <c r="AH7" s="28" t="n"/>
      <c r="AI7" s="28" t="n"/>
      <c r="AJ7" s="28" t="n"/>
      <c r="AK7" s="28" t="n"/>
      <c r="AL7" s="28" t="n"/>
      <c r="AM7" s="28" t="n"/>
      <c r="AN7" s="28" t="n"/>
      <c r="AO7" s="28" t="n"/>
      <c r="AP7" s="28" t="n"/>
      <c r="AQ7" s="28" t="n"/>
      <c r="AR7" s="28" t="n"/>
      <c r="AS7" s="28" t="n"/>
      <c r="AT7" s="28" t="n"/>
      <c r="AU7" s="28" t="n"/>
    </row>
    <row r="8">
      <c r="P8" s="28" t="n"/>
      <c r="Q8" s="28" t="n"/>
      <c r="R8" s="28" t="n"/>
      <c r="S8" s="28" t="n"/>
      <c r="T8" s="28" t="n"/>
      <c r="U8" s="28" t="n"/>
      <c r="V8" s="28" t="n"/>
      <c r="W8" s="28" t="n"/>
      <c r="X8" s="28" t="n"/>
      <c r="Y8" s="28" t="n"/>
      <c r="Z8" s="28" t="n"/>
      <c r="AA8" s="28" t="n"/>
      <c r="AB8" s="28" t="n"/>
      <c r="AC8" s="28" t="n"/>
      <c r="AD8" s="28" t="n"/>
      <c r="AE8" s="28" t="n"/>
      <c r="AF8" s="28" t="n"/>
      <c r="AG8" s="28" t="n"/>
      <c r="AH8" s="28" t="n"/>
      <c r="AI8" s="28" t="n"/>
      <c r="AJ8" s="28" t="n"/>
      <c r="AK8" s="28" t="n"/>
      <c r="AL8" s="28" t="n"/>
      <c r="AM8" s="28" t="n"/>
      <c r="AN8" s="28" t="n"/>
      <c r="AO8" s="28" t="n"/>
      <c r="AP8" s="28" t="n"/>
      <c r="AQ8" s="28" t="n"/>
      <c r="AR8" s="28" t="n"/>
      <c r="AS8" s="28" t="n"/>
      <c r="AT8" s="28" t="n"/>
      <c r="AU8" s="28" t="n"/>
    </row>
    <row r="10">
      <c r="A10" s="30" t="inlineStr">
        <is>
          <t>Ataque</t>
        </is>
      </c>
      <c r="E10" s="30" t="inlineStr">
        <is>
          <t>Cost</t>
        </is>
      </c>
      <c r="F10" s="30" t="inlineStr">
        <is>
          <t>Action</t>
        </is>
      </c>
      <c r="I10" s="30" t="inlineStr">
        <is>
          <t>Forma</t>
        </is>
      </c>
      <c r="L10" s="30" t="inlineStr">
        <is>
          <t>Range</t>
        </is>
      </c>
      <c r="M10" s="30" t="inlineStr">
        <is>
          <t>Type</t>
        </is>
      </c>
      <c r="P10" s="30" t="inlineStr">
        <is>
          <t>Damage</t>
        </is>
      </c>
      <c r="S10" s="30" t="inlineStr">
        <is>
          <t>Status</t>
        </is>
      </c>
      <c r="U10" s="30" t="inlineStr">
        <is>
          <t>Descripcion</t>
        </is>
      </c>
      <c r="AH10" s="30" t="inlineStr">
        <is>
          <t>Flavour</t>
        </is>
      </c>
    </row>
    <row r="11" ht="18.75" customHeight="1" s="77">
      <c r="E11" s="75" t="n">
        <v>0</v>
      </c>
      <c r="F11" s="75" t="inlineStr">
        <is>
          <t>AP</t>
        </is>
      </c>
      <c r="I11" s="75" t="inlineStr">
        <is>
          <t>Single</t>
        </is>
      </c>
      <c r="L11" s="75" t="n"/>
      <c r="M11" s="75" t="inlineStr">
        <is>
          <t>Slash</t>
        </is>
      </c>
      <c r="S11" s="75" t="n"/>
      <c r="U11" s="76" t="n"/>
      <c r="AH11" s="76" t="n"/>
    </row>
    <row r="12">
      <c r="E12" s="36" t="n">
        <v>0</v>
      </c>
      <c r="F12" s="36" t="inlineStr">
        <is>
          <t>AP</t>
        </is>
      </c>
      <c r="I12" s="36" t="inlineStr">
        <is>
          <t>Single</t>
        </is>
      </c>
      <c r="L12" s="36" t="n"/>
      <c r="M12" s="36" t="inlineStr">
        <is>
          <t>Slash</t>
        </is>
      </c>
      <c r="S12" s="36" t="n"/>
      <c r="U12" s="38" t="n"/>
      <c r="AH12" s="38" t="n"/>
    </row>
    <row r="13">
      <c r="E13" s="75" t="n">
        <v>0</v>
      </c>
      <c r="F13" s="75" t="inlineStr">
        <is>
          <t>AP</t>
        </is>
      </c>
      <c r="I13" s="75" t="inlineStr">
        <is>
          <t>Single</t>
        </is>
      </c>
      <c r="L13" s="75" t="n"/>
      <c r="M13" s="75" t="inlineStr">
        <is>
          <t>Slash</t>
        </is>
      </c>
      <c r="S13" s="75" t="n"/>
      <c r="U13" s="76" t="n"/>
      <c r="AH13" s="76" t="n"/>
    </row>
    <row r="14">
      <c r="E14" s="36" t="n">
        <v>0</v>
      </c>
      <c r="F14" s="36" t="inlineStr">
        <is>
          <t>AP</t>
        </is>
      </c>
      <c r="I14" s="36" t="inlineStr">
        <is>
          <t>Single</t>
        </is>
      </c>
      <c r="L14" s="36" t="n"/>
      <c r="M14" s="36" t="inlineStr">
        <is>
          <t>Slash</t>
        </is>
      </c>
      <c r="S14" s="36" t="n"/>
      <c r="U14" s="38" t="n"/>
      <c r="AH14" s="38" t="n"/>
    </row>
    <row r="15">
      <c r="E15" s="75" t="n">
        <v>0</v>
      </c>
      <c r="F15" s="75" t="inlineStr">
        <is>
          <t>AP</t>
        </is>
      </c>
      <c r="I15" s="75" t="inlineStr">
        <is>
          <t>Single</t>
        </is>
      </c>
      <c r="L15" s="75" t="n"/>
      <c r="M15" s="75" t="inlineStr">
        <is>
          <t>Slash</t>
        </is>
      </c>
      <c r="S15" s="75" t="n"/>
      <c r="U15" s="76" t="n"/>
      <c r="AH15" s="76" t="n"/>
    </row>
    <row r="16">
      <c r="E16" s="36" t="n">
        <v>0</v>
      </c>
      <c r="F16" s="36" t="inlineStr">
        <is>
          <t>AP</t>
        </is>
      </c>
      <c r="I16" s="36" t="inlineStr">
        <is>
          <t>Single</t>
        </is>
      </c>
      <c r="L16" s="36" t="n"/>
      <c r="M16" s="36" t="inlineStr">
        <is>
          <t>Slash</t>
        </is>
      </c>
      <c r="S16" s="36" t="n"/>
      <c r="U16" s="38" t="n"/>
      <c r="AH16" s="38" t="n"/>
    </row>
    <row r="17">
      <c r="E17" s="75" t="n">
        <v>0</v>
      </c>
      <c r="F17" s="75" t="inlineStr">
        <is>
          <t>AP</t>
        </is>
      </c>
      <c r="I17" s="75" t="inlineStr">
        <is>
          <t>Single</t>
        </is>
      </c>
      <c r="L17" s="75" t="n"/>
      <c r="M17" s="75" t="inlineStr">
        <is>
          <t>Slash</t>
        </is>
      </c>
      <c r="S17" s="75" t="n"/>
      <c r="U17" s="76" t="n"/>
      <c r="AH17" s="39" t="n"/>
    </row>
    <row r="18">
      <c r="E18" s="36" t="n">
        <v>0</v>
      </c>
      <c r="F18" s="36" t="inlineStr">
        <is>
          <t>AP</t>
        </is>
      </c>
      <c r="I18" s="36" t="inlineStr">
        <is>
          <t>Single</t>
        </is>
      </c>
      <c r="L18" s="36" t="n"/>
      <c r="M18" s="36" t="inlineStr">
        <is>
          <t>Slash</t>
        </is>
      </c>
      <c r="S18" s="36" t="n"/>
      <c r="U18" s="38" t="n"/>
      <c r="AH18" s="38" t="n"/>
    </row>
    <row r="19">
      <c r="E19" s="75" t="n">
        <v>0</v>
      </c>
      <c r="F19" s="75" t="inlineStr">
        <is>
          <t>AP</t>
        </is>
      </c>
      <c r="I19" s="75" t="inlineStr">
        <is>
          <t>Single</t>
        </is>
      </c>
      <c r="L19" s="75" t="n"/>
      <c r="M19" s="75" t="inlineStr">
        <is>
          <t>Slash</t>
        </is>
      </c>
      <c r="S19" s="75" t="n"/>
      <c r="U19" s="76" t="n"/>
      <c r="AH19" s="76" t="n"/>
    </row>
    <row r="20">
      <c r="E20" s="36" t="n">
        <v>0</v>
      </c>
      <c r="F20" s="36" t="inlineStr">
        <is>
          <t>AP</t>
        </is>
      </c>
      <c r="I20" s="36" t="inlineStr">
        <is>
          <t>Single</t>
        </is>
      </c>
      <c r="L20" s="36" t="n"/>
      <c r="M20" s="36" t="inlineStr">
        <is>
          <t>Slash</t>
        </is>
      </c>
      <c r="S20" s="36" t="n"/>
      <c r="U20" s="38" t="n"/>
      <c r="AH20" s="38" t="n"/>
    </row>
    <row r="21">
      <c r="E21" s="75" t="n">
        <v>0</v>
      </c>
      <c r="F21" s="75" t="inlineStr">
        <is>
          <t>AP</t>
        </is>
      </c>
      <c r="I21" s="75" t="inlineStr">
        <is>
          <t>Single</t>
        </is>
      </c>
      <c r="L21" s="75" t="n"/>
      <c r="M21" s="75" t="inlineStr">
        <is>
          <t>Slash</t>
        </is>
      </c>
      <c r="S21" s="75" t="n"/>
      <c r="U21" s="76" t="n"/>
      <c r="AH21" s="76" t="n"/>
    </row>
    <row r="22">
      <c r="E22" s="36" t="n">
        <v>0</v>
      </c>
      <c r="F22" s="36" t="inlineStr">
        <is>
          <t>AP</t>
        </is>
      </c>
      <c r="I22" s="36" t="inlineStr">
        <is>
          <t>Single</t>
        </is>
      </c>
      <c r="L22" s="36" t="n"/>
      <c r="M22" s="36" t="inlineStr">
        <is>
          <t>Slash</t>
        </is>
      </c>
      <c r="S22" s="36" t="n"/>
      <c r="U22" s="38" t="n"/>
      <c r="AH22" s="38" t="n"/>
    </row>
    <row r="23">
      <c r="E23" s="75" t="n">
        <v>0</v>
      </c>
      <c r="F23" s="75" t="inlineStr">
        <is>
          <t>AP</t>
        </is>
      </c>
      <c r="I23" s="75" t="inlineStr">
        <is>
          <t>Single</t>
        </is>
      </c>
      <c r="L23" s="75" t="n"/>
      <c r="M23" s="75" t="inlineStr">
        <is>
          <t>Slash</t>
        </is>
      </c>
      <c r="S23" s="75" t="n"/>
      <c r="U23" s="76" t="n"/>
      <c r="AH23" s="76" t="n"/>
    </row>
    <row r="24">
      <c r="E24" s="36" t="n">
        <v>0</v>
      </c>
      <c r="F24" s="36" t="inlineStr">
        <is>
          <t>AP</t>
        </is>
      </c>
      <c r="I24" s="36" t="inlineStr">
        <is>
          <t>Single</t>
        </is>
      </c>
      <c r="L24" s="36" t="n"/>
      <c r="M24" s="36" t="inlineStr">
        <is>
          <t>Slash</t>
        </is>
      </c>
      <c r="S24" s="36" t="n"/>
      <c r="U24" s="38" t="n"/>
      <c r="AH24" s="38" t="n"/>
    </row>
    <row r="25">
      <c r="E25" s="75" t="n">
        <v>0</v>
      </c>
      <c r="F25" s="75" t="inlineStr">
        <is>
          <t>AP</t>
        </is>
      </c>
      <c r="I25" s="75" t="inlineStr">
        <is>
          <t>Single</t>
        </is>
      </c>
      <c r="L25" s="75" t="n"/>
      <c r="M25" s="75" t="inlineStr">
        <is>
          <t>Slash</t>
        </is>
      </c>
      <c r="S25" s="75" t="n"/>
      <c r="U25" s="76" t="n"/>
      <c r="AH25" s="76" t="n"/>
    </row>
    <row r="26">
      <c r="E26" s="36" t="n">
        <v>0</v>
      </c>
      <c r="F26" s="36" t="inlineStr">
        <is>
          <t>AP</t>
        </is>
      </c>
      <c r="I26" s="36" t="inlineStr">
        <is>
          <t>Single</t>
        </is>
      </c>
      <c r="L26" s="36" t="n"/>
      <c r="M26" s="36" t="inlineStr">
        <is>
          <t>Slash</t>
        </is>
      </c>
      <c r="S26" s="36" t="n"/>
      <c r="U26" s="38" t="n"/>
      <c r="AH26" s="38" t="n"/>
    </row>
    <row r="27">
      <c r="A27" s="75" t="n"/>
      <c r="B27" s="75" t="n"/>
      <c r="C27" s="75" t="n"/>
      <c r="D27" s="75" t="n"/>
      <c r="E27" s="75" t="n"/>
      <c r="F27" s="75" t="n"/>
      <c r="G27" s="75" t="n"/>
      <c r="H27" s="75" t="n"/>
      <c r="I27" s="75" t="n"/>
      <c r="J27" s="75" t="n"/>
      <c r="K27" s="75" t="n"/>
      <c r="L27" s="75" t="n"/>
      <c r="M27" s="75" t="n"/>
      <c r="N27" s="75" t="n"/>
      <c r="O27" s="75" t="n"/>
      <c r="P27" s="75" t="n"/>
      <c r="Q27" s="75" t="n"/>
      <c r="R27" s="75" t="n"/>
      <c r="S27" s="75" t="n"/>
      <c r="T27" s="75" t="n"/>
      <c r="U27" s="75" t="n"/>
      <c r="V27" s="75" t="n"/>
      <c r="W27" s="75" t="n"/>
      <c r="X27" s="75" t="n"/>
      <c r="Y27" s="75" t="n"/>
      <c r="Z27" s="75" t="n"/>
      <c r="AA27" s="75" t="n"/>
      <c r="AB27" s="75" t="n"/>
      <c r="AC27" s="75" t="n"/>
      <c r="AD27" s="75" t="n"/>
      <c r="AE27" s="75" t="n"/>
      <c r="AF27" s="75" t="n"/>
      <c r="AG27" s="75" t="n"/>
      <c r="AH27" s="75" t="n"/>
      <c r="AI27" s="75" t="n"/>
      <c r="AJ27" s="75" t="n"/>
      <c r="AK27" s="75" t="n"/>
      <c r="AL27" s="75" t="n"/>
      <c r="AM27" s="75" t="n"/>
      <c r="AN27" s="75" t="n"/>
      <c r="AO27" s="75" t="n"/>
      <c r="AP27" s="75" t="n"/>
      <c r="AQ27" s="75" t="n"/>
      <c r="AR27" s="75" t="n"/>
    </row>
  </sheetData>
  <mergeCells count="145">
    <mergeCell ref="F18:H18"/>
    <mergeCell ref="S21:T21"/>
    <mergeCell ref="A20:D20"/>
    <mergeCell ref="F17:H17"/>
    <mergeCell ref="P17:R17"/>
    <mergeCell ref="T6:AC6"/>
    <mergeCell ref="M12:O12"/>
    <mergeCell ref="A13:D13"/>
    <mergeCell ref="M21:O21"/>
    <mergeCell ref="Q6:S6"/>
    <mergeCell ref="I24:K24"/>
    <mergeCell ref="F22:H22"/>
    <mergeCell ref="P19:R19"/>
    <mergeCell ref="A15:D15"/>
    <mergeCell ref="AH20:AR20"/>
    <mergeCell ref="I17:K17"/>
    <mergeCell ref="A24:D24"/>
    <mergeCell ref="P12:R12"/>
    <mergeCell ref="M24:O24"/>
    <mergeCell ref="I10:K10"/>
    <mergeCell ref="S10:T10"/>
    <mergeCell ref="F14:H14"/>
    <mergeCell ref="S19:T19"/>
    <mergeCell ref="P14:R14"/>
    <mergeCell ref="A16:D16"/>
    <mergeCell ref="U16:AG16"/>
    <mergeCell ref="U25:AG25"/>
    <mergeCell ref="S20:T20"/>
    <mergeCell ref="F12:H12"/>
    <mergeCell ref="M20:O20"/>
    <mergeCell ref="F21:H21"/>
    <mergeCell ref="M11:O11"/>
    <mergeCell ref="S22:T22"/>
    <mergeCell ref="A17:D17"/>
    <mergeCell ref="Q5:S5"/>
    <mergeCell ref="A22:D22"/>
    <mergeCell ref="I22:K22"/>
    <mergeCell ref="S12:T12"/>
    <mergeCell ref="M22:O22"/>
    <mergeCell ref="I12:K12"/>
    <mergeCell ref="A19:D19"/>
    <mergeCell ref="AH24:AR24"/>
    <mergeCell ref="I21:K21"/>
    <mergeCell ref="AH18:AR18"/>
    <mergeCell ref="M15:O15"/>
    <mergeCell ref="U20:AG20"/>
    <mergeCell ref="P16:R16"/>
    <mergeCell ref="U14:AG14"/>
    <mergeCell ref="U23:AG23"/>
    <mergeCell ref="AH17:AR17"/>
    <mergeCell ref="I14:K14"/>
    <mergeCell ref="I23:K23"/>
    <mergeCell ref="F4:L4"/>
    <mergeCell ref="S23:T23"/>
    <mergeCell ref="P18:R18"/>
    <mergeCell ref="U22:AG22"/>
    <mergeCell ref="M26:O26"/>
    <mergeCell ref="AH10:AR10"/>
    <mergeCell ref="A11:D11"/>
    <mergeCell ref="S13:T13"/>
    <mergeCell ref="AH19:AR19"/>
    <mergeCell ref="M14:O14"/>
    <mergeCell ref="T5:AC5"/>
    <mergeCell ref="U15:AG15"/>
    <mergeCell ref="M23:O23"/>
    <mergeCell ref="S15:T15"/>
    <mergeCell ref="S24:T24"/>
    <mergeCell ref="Q7:S7"/>
    <mergeCell ref="AH11:AR11"/>
    <mergeCell ref="F11:H11"/>
    <mergeCell ref="P20:R20"/>
    <mergeCell ref="F25:H25"/>
    <mergeCell ref="A26:D26"/>
    <mergeCell ref="P22:R22"/>
    <mergeCell ref="Q1:AC1"/>
    <mergeCell ref="F15:H15"/>
    <mergeCell ref="F24:H24"/>
    <mergeCell ref="I25:K25"/>
    <mergeCell ref="P21:R21"/>
    <mergeCell ref="U24:AG24"/>
    <mergeCell ref="AH13:AR13"/>
    <mergeCell ref="U18:AG18"/>
    <mergeCell ref="AH21:AR21"/>
    <mergeCell ref="T7:AC7"/>
    <mergeCell ref="F26:H26"/>
    <mergeCell ref="P23:R23"/>
    <mergeCell ref="M25:O25"/>
    <mergeCell ref="A10:D10"/>
    <mergeCell ref="AH23:AR23"/>
    <mergeCell ref="F23:H23"/>
    <mergeCell ref="U10:AG10"/>
    <mergeCell ref="U19:AG19"/>
    <mergeCell ref="F13:H13"/>
    <mergeCell ref="M17:O17"/>
    <mergeCell ref="S14:T14"/>
    <mergeCell ref="I20:K20"/>
    <mergeCell ref="M19:O19"/>
    <mergeCell ref="I13:K13"/>
    <mergeCell ref="I15:K15"/>
    <mergeCell ref="F16:H16"/>
    <mergeCell ref="P25:R25"/>
    <mergeCell ref="A12:D12"/>
    <mergeCell ref="A21:D21"/>
    <mergeCell ref="U13:AG13"/>
    <mergeCell ref="I26:K26"/>
    <mergeCell ref="S26:T26"/>
    <mergeCell ref="U21:AG21"/>
    <mergeCell ref="A14:D14"/>
    <mergeCell ref="F20:H20"/>
    <mergeCell ref="I16:K16"/>
    <mergeCell ref="AH22:AR22"/>
    <mergeCell ref="A23:D23"/>
    <mergeCell ref="S16:T16"/>
    <mergeCell ref="M10:O10"/>
    <mergeCell ref="P11:R11"/>
    <mergeCell ref="S25:T25"/>
    <mergeCell ref="AH12:AR12"/>
    <mergeCell ref="M13:O13"/>
    <mergeCell ref="I18:K18"/>
    <mergeCell ref="M16:O16"/>
    <mergeCell ref="S18:T18"/>
    <mergeCell ref="AH14:AR14"/>
    <mergeCell ref="S17:T17"/>
    <mergeCell ref="S11:T11"/>
    <mergeCell ref="U26:AG26"/>
    <mergeCell ref="M18:O18"/>
    <mergeCell ref="P13:R13"/>
    <mergeCell ref="I19:K19"/>
    <mergeCell ref="P15:R15"/>
    <mergeCell ref="P24:R24"/>
    <mergeCell ref="AH15:AR15"/>
    <mergeCell ref="A25:D25"/>
    <mergeCell ref="U17:AG17"/>
    <mergeCell ref="U11:AG11"/>
    <mergeCell ref="P26:R26"/>
    <mergeCell ref="I11:K11"/>
    <mergeCell ref="F10:H10"/>
    <mergeCell ref="A18:D18"/>
    <mergeCell ref="F19:H19"/>
    <mergeCell ref="AH26:AR26"/>
    <mergeCell ref="P10:R10"/>
    <mergeCell ref="F2:O2"/>
    <mergeCell ref="AH16:AR16"/>
    <mergeCell ref="AH25:AR25"/>
    <mergeCell ref="U12:AG12"/>
  </mergeCells>
  <conditionalFormatting sqref="F1:O1">
    <cfRule type="cellIs" priority="1" operator="lessThan" dxfId="1">
      <formula>"B1"</formula>
    </cfRule>
  </conditionalFormatting>
  <dataValidations count="3">
    <dataValidation sqref="M11:M26" showDropDown="0" showInputMessage="0" showErrorMessage="1" allowBlank="1" type="list">
      <formula1>"Slash,Piercing,Bludgeoning,Fire,Ice,Lightning,Thunder,Poison,Acid,Radiant,Necrotic,Psychic,Force,Other"</formula1>
    </dataValidation>
    <dataValidation sqref="F11:F26" showDropDown="0" showInputMessage="0" showErrorMessage="1" allowBlank="1" type="list">
      <formula1>"AP,AS,Reacc,Pasiva"</formula1>
    </dataValidation>
    <dataValidation sqref="I11:I26" showDropDown="0" showInputMessage="0" showErrorMessage="1" allowBlank="1" type="list">
      <formula1>"Single,Circle,Semi,Cone,Line,Free,Multi"</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AU37"/>
  <sheetViews>
    <sheetView workbookViewId="0">
      <pane ySplit="7" topLeftCell="A8" activePane="bottomLeft" state="frozen"/>
      <selection pane="bottomLeft" activeCell="B9" sqref="B9"/>
    </sheetView>
  </sheetViews>
  <sheetFormatPr baseColWidth="8" defaultColWidth="12.63" defaultRowHeight="15.75" customHeight="1"/>
  <cols>
    <col width="6.25" customWidth="1" style="77" min="1" max="1"/>
    <col width="7.63" customWidth="1" style="77" min="2" max="2"/>
    <col width="5.75" customWidth="1" style="77" min="3" max="3"/>
    <col width="6.38" customWidth="1" style="77" min="4" max="4"/>
    <col width="6.5" customWidth="1" style="77" min="5" max="5"/>
    <col width="4.5" customWidth="1" style="77" min="6" max="16"/>
    <col width="4.75" customWidth="1" style="77" min="17" max="17"/>
    <col width="4.25" customWidth="1" style="77" min="18" max="18"/>
    <col width="4.88" customWidth="1" style="77" min="19" max="19"/>
    <col width="4.5" customWidth="1" style="77" min="20" max="32"/>
    <col width="6.75" customWidth="1" style="77" min="33" max="33"/>
    <col width="4.5" customWidth="1" style="77" min="34" max="47"/>
  </cols>
  <sheetData>
    <row r="1">
      <c r="A1" s="1" t="inlineStr">
        <is>
          <t xml:space="preserve">PS </t>
        </is>
      </c>
      <c r="B1" s="2" t="n">
        <v>263</v>
      </c>
      <c r="C1" s="2" t="n">
        <v>450</v>
      </c>
      <c r="D1" s="3">
        <f>B1/C1</f>
        <v/>
      </c>
      <c r="E1" s="28" t="n"/>
      <c r="F1" s="6">
        <f>C1*0.1</f>
        <v/>
      </c>
      <c r="G1" s="6">
        <f>C1*0.2</f>
        <v/>
      </c>
      <c r="H1" s="6">
        <f>C1*0.3</f>
        <v/>
      </c>
      <c r="I1" s="6">
        <f>C1*0.4</f>
        <v/>
      </c>
      <c r="J1" s="6">
        <f>C1*0.5</f>
        <v/>
      </c>
      <c r="K1" s="6">
        <f>C1*0.6</f>
        <v/>
      </c>
      <c r="L1" s="6">
        <f>C1*0.7</f>
        <v/>
      </c>
      <c r="M1" s="6">
        <f>C1*0.8</f>
        <v/>
      </c>
      <c r="N1" s="6">
        <f>C1*0.9</f>
        <v/>
      </c>
      <c r="O1" s="6">
        <f>C1</f>
        <v/>
      </c>
      <c r="P1" s="28" t="n"/>
      <c r="Q1" s="16" t="inlineStr">
        <is>
          <t>RESISTANCES</t>
        </is>
      </c>
      <c r="R1" s="78" t="n"/>
      <c r="S1" s="78" t="n"/>
      <c r="T1" s="78" t="n"/>
      <c r="U1" s="78" t="n"/>
      <c r="V1" s="78" t="n"/>
      <c r="W1" s="78" t="n"/>
      <c r="X1" s="78" t="n"/>
      <c r="Y1" s="78" t="n"/>
      <c r="Z1" s="78" t="n"/>
      <c r="AA1" s="78" t="n"/>
      <c r="AB1" s="78" t="n"/>
      <c r="AC1" s="79" t="n"/>
      <c r="AD1" s="28" t="n"/>
      <c r="AE1" s="28" t="n"/>
      <c r="AF1" s="28" t="n"/>
      <c r="AG1" s="11" t="n"/>
      <c r="AH1" s="28" t="n"/>
      <c r="AI1" s="28" t="n"/>
      <c r="AJ1" s="28" t="n"/>
      <c r="AK1" s="28" t="n"/>
      <c r="AL1" s="28" t="n"/>
      <c r="AM1" s="28" t="n"/>
      <c r="AN1" s="28" t="n"/>
      <c r="AO1" s="28" t="n"/>
      <c r="AP1" s="28" t="n"/>
      <c r="AQ1" s="28" t="n"/>
      <c r="AR1" s="28" t="n"/>
      <c r="AS1" s="28" t="n"/>
      <c r="AT1" s="28" t="n"/>
      <c r="AU1" s="28" t="n"/>
    </row>
    <row r="2" ht="17.25" customHeight="1" s="77">
      <c r="A2" s="28" t="n"/>
      <c r="B2" s="28" t="n"/>
      <c r="C2" s="28" t="n"/>
      <c r="D2" s="28" t="n"/>
      <c r="E2" s="28" t="n"/>
      <c r="F2" s="12" t="inlineStr">
        <is>
          <t>Barra de PS</t>
        </is>
      </c>
      <c r="P2" s="28" t="n"/>
      <c r="Q2" s="13" t="inlineStr">
        <is>
          <t>Slash</t>
        </is>
      </c>
      <c r="R2" s="14" t="inlineStr">
        <is>
          <t>Pier</t>
        </is>
      </c>
      <c r="S2" s="13" t="inlineStr">
        <is>
          <t>Bludg</t>
        </is>
      </c>
      <c r="T2" s="14" t="inlineStr">
        <is>
          <t>Fire</t>
        </is>
      </c>
      <c r="U2" s="13" t="inlineStr">
        <is>
          <t>Cold</t>
        </is>
      </c>
      <c r="V2" s="14" t="inlineStr">
        <is>
          <t>Light</t>
        </is>
      </c>
      <c r="W2" s="13" t="inlineStr">
        <is>
          <t>Thun</t>
        </is>
      </c>
      <c r="X2" s="14" t="inlineStr">
        <is>
          <t>Pois</t>
        </is>
      </c>
      <c r="Y2" s="14" t="inlineStr">
        <is>
          <t>Acid</t>
        </is>
      </c>
      <c r="Z2" s="14" t="inlineStr">
        <is>
          <t>Rad</t>
        </is>
      </c>
      <c r="AA2" s="14" t="inlineStr">
        <is>
          <t>Nec</t>
        </is>
      </c>
      <c r="AB2" s="14" t="inlineStr">
        <is>
          <t>Psi</t>
        </is>
      </c>
      <c r="AC2" s="29" t="inlineStr">
        <is>
          <t>Forc</t>
        </is>
      </c>
      <c r="AD2" s="28" t="n"/>
      <c r="AE2" s="28" t="n"/>
      <c r="AF2" s="28" t="n"/>
      <c r="AG2" s="28" t="n"/>
      <c r="AH2" s="28" t="n"/>
      <c r="AI2" s="28" t="n"/>
      <c r="AJ2" s="28" t="n"/>
      <c r="AK2" s="28" t="n"/>
      <c r="AL2" s="28" t="n"/>
      <c r="AM2" s="28" t="n"/>
      <c r="AN2" s="28" t="n"/>
      <c r="AO2" s="28" t="n"/>
      <c r="AP2" s="28" t="n"/>
      <c r="AQ2" s="28" t="n"/>
      <c r="AR2" s="28" t="n"/>
      <c r="AS2" s="28" t="n"/>
      <c r="AT2" s="28" t="n"/>
      <c r="AU2" s="28" t="n"/>
    </row>
    <row r="3" ht="16.5" customHeight="1" s="77">
      <c r="A3" s="16" t="inlineStr">
        <is>
          <t>Speed</t>
        </is>
      </c>
      <c r="B3" s="21" t="inlineStr">
        <is>
          <t>Initiative</t>
        </is>
      </c>
      <c r="C3" s="21" t="inlineStr">
        <is>
          <t>SSDC</t>
        </is>
      </c>
      <c r="D3" s="21" t="inlineStr">
        <is>
          <t>AC</t>
        </is>
      </c>
      <c r="E3" s="28" t="n"/>
      <c r="F3" s="28" t="n"/>
      <c r="G3" s="28" t="n"/>
      <c r="H3" s="28" t="n"/>
      <c r="I3" s="28" t="n"/>
      <c r="J3" s="28" t="n"/>
      <c r="K3" s="28" t="n"/>
      <c r="L3" s="28" t="n"/>
      <c r="M3" s="28" t="n"/>
      <c r="N3" s="28" t="n"/>
      <c r="O3" s="28" t="n"/>
      <c r="P3" s="28" t="n"/>
      <c r="Q3" s="33" t="n"/>
      <c r="R3" s="32" t="n"/>
      <c r="S3" s="33" t="n"/>
      <c r="T3" s="32" t="n"/>
      <c r="U3" s="33" t="inlineStr">
        <is>
          <t>R</t>
        </is>
      </c>
      <c r="V3" s="32" t="n"/>
      <c r="W3" s="33" t="n"/>
      <c r="X3" s="32" t="inlineStr">
        <is>
          <t>Imm</t>
        </is>
      </c>
      <c r="Y3" s="32" t="n"/>
      <c r="Z3" s="32" t="n"/>
      <c r="AA3" s="32" t="inlineStr">
        <is>
          <t>R</t>
        </is>
      </c>
      <c r="AB3" s="32" t="n"/>
      <c r="AC3" s="32" t="n"/>
      <c r="AD3" s="28" t="n"/>
      <c r="AE3" s="28" t="n"/>
      <c r="AF3" s="28" t="n"/>
      <c r="AG3" s="20" t="n"/>
      <c r="AH3" s="20" t="n"/>
      <c r="AI3" s="20" t="n"/>
      <c r="AJ3" s="20" t="n"/>
      <c r="AK3" s="20" t="n"/>
      <c r="AL3" s="28" t="n"/>
      <c r="AM3" s="28" t="n"/>
      <c r="AN3" s="28" t="n"/>
      <c r="AO3" s="28" t="n"/>
      <c r="AP3" s="28" t="n"/>
      <c r="AQ3" s="28" t="n"/>
      <c r="AR3" s="28" t="n"/>
      <c r="AS3" s="28" t="n"/>
      <c r="AT3" s="28" t="n"/>
      <c r="AU3" s="28" t="n"/>
    </row>
    <row r="4">
      <c r="A4" s="21" t="inlineStr">
        <is>
          <t>5 - 30ft</t>
        </is>
      </c>
      <c r="B4" s="25" t="n"/>
      <c r="C4" s="25" t="n">
        <v>17</v>
      </c>
      <c r="D4" s="25" t="n">
        <v>16</v>
      </c>
      <c r="F4" s="80" t="inlineStr">
        <is>
          <t>STATS</t>
        </is>
      </c>
      <c r="G4" s="78" t="n"/>
      <c r="H4" s="78" t="n"/>
      <c r="I4" s="78" t="n"/>
      <c r="J4" s="78" t="n"/>
      <c r="K4" s="78" t="n"/>
      <c r="L4" s="79" t="n"/>
      <c r="M4" s="24" t="n"/>
      <c r="N4" s="24" t="inlineStr">
        <is>
          <t>-2 a todo</t>
        </is>
      </c>
      <c r="O4" s="24" t="n"/>
      <c r="P4" s="28" t="n"/>
      <c r="Q4" s="28" t="n"/>
      <c r="R4" s="28" t="n"/>
      <c r="S4" s="28" t="n"/>
      <c r="T4" s="28" t="n"/>
      <c r="U4" s="28" t="n"/>
      <c r="V4" s="28" t="n"/>
      <c r="W4" s="28" t="n"/>
      <c r="X4" s="28" t="n"/>
      <c r="Y4" s="28" t="n"/>
      <c r="Z4" s="28" t="n"/>
      <c r="AA4" s="28" t="n"/>
      <c r="AB4" s="28" t="n"/>
      <c r="AC4" s="28" t="n"/>
      <c r="AD4" s="28" t="n"/>
      <c r="AE4" s="28" t="n"/>
      <c r="AF4" s="28" t="n"/>
      <c r="AG4" s="28" t="n"/>
      <c r="AH4" s="28" t="n"/>
      <c r="AI4" s="28" t="n"/>
      <c r="AJ4" s="28" t="n"/>
      <c r="AK4" s="28" t="n"/>
      <c r="AL4" s="28" t="n"/>
      <c r="AM4" s="28" t="n"/>
      <c r="AN4" s="28" t="n"/>
      <c r="AO4" s="28" t="n"/>
      <c r="AP4" s="28" t="n"/>
      <c r="AQ4" s="28" t="n"/>
      <c r="AR4" s="28" t="n"/>
      <c r="AS4" s="28" t="n"/>
      <c r="AT4" s="28" t="n"/>
      <c r="AU4" s="28" t="n"/>
    </row>
    <row r="5">
      <c r="C5" s="27" t="inlineStr">
        <is>
          <t>(19-2)</t>
        </is>
      </c>
      <c r="D5" s="27" t="inlineStr">
        <is>
          <t>(18-2)</t>
        </is>
      </c>
      <c r="F5" s="25" t="n"/>
      <c r="G5" s="25" t="inlineStr">
        <is>
          <t>CON</t>
        </is>
      </c>
      <c r="H5" s="25" t="inlineStr">
        <is>
          <t>STR</t>
        </is>
      </c>
      <c r="I5" s="25" t="inlineStr">
        <is>
          <t>DEX</t>
        </is>
      </c>
      <c r="J5" s="25" t="inlineStr">
        <is>
          <t>WIS</t>
        </is>
      </c>
      <c r="K5" s="25" t="inlineStr">
        <is>
          <t>INT</t>
        </is>
      </c>
      <c r="L5" s="25" t="inlineStr">
        <is>
          <t>CAR</t>
        </is>
      </c>
      <c r="P5" s="28" t="n"/>
      <c r="Q5" s="26" t="inlineStr">
        <is>
          <t>IMMUNITIES</t>
        </is>
      </c>
      <c r="T5" s="28" t="inlineStr">
        <is>
          <t>Poisoned, Charm, Frightened</t>
        </is>
      </c>
      <c r="AD5" s="28" t="n"/>
      <c r="AE5" s="28" t="n"/>
      <c r="AF5" s="28" t="n"/>
      <c r="AG5" s="28" t="n"/>
      <c r="AH5" s="28" t="n"/>
      <c r="AI5" s="28" t="n"/>
      <c r="AJ5" s="28" t="n"/>
      <c r="AK5" s="28" t="n"/>
      <c r="AL5" s="28" t="n"/>
      <c r="AM5" s="28" t="n"/>
      <c r="AN5" s="28" t="n"/>
      <c r="AO5" s="28" t="n"/>
      <c r="AP5" s="28" t="n"/>
      <c r="AQ5" s="28" t="n"/>
      <c r="AR5" s="28" t="n"/>
      <c r="AS5" s="28" t="n"/>
      <c r="AT5" s="28" t="n"/>
      <c r="AU5" s="28" t="n"/>
    </row>
    <row r="6">
      <c r="A6" s="25" t="inlineStr">
        <is>
          <t>Entropy</t>
        </is>
      </c>
      <c r="B6" s="25" t="n"/>
      <c r="D6" s="25" t="inlineStr">
        <is>
          <t>MartDC</t>
        </is>
      </c>
      <c r="F6" s="25" t="inlineStr">
        <is>
          <t>Plus</t>
        </is>
      </c>
      <c r="G6" s="25" t="n">
        <v>3</v>
      </c>
      <c r="H6" s="25" t="n">
        <v>0</v>
      </c>
      <c r="I6" s="25" t="n">
        <v>4</v>
      </c>
      <c r="J6" s="25" t="n">
        <v>3</v>
      </c>
      <c r="K6" s="25" t="n">
        <v>1</v>
      </c>
      <c r="L6" s="25" t="n">
        <v>6</v>
      </c>
      <c r="N6" s="27" t="n"/>
      <c r="P6" s="28" t="n"/>
      <c r="Q6" s="26" t="inlineStr">
        <is>
          <t>SENSES</t>
        </is>
      </c>
      <c r="T6" s="28" t="inlineStr">
        <is>
          <t>Normal ig</t>
        </is>
      </c>
      <c r="AD6" s="28" t="n"/>
      <c r="AE6" s="28" t="n"/>
      <c r="AF6" s="28" t="n"/>
      <c r="AG6" s="28" t="n"/>
      <c r="AH6" s="28" t="n"/>
      <c r="AI6" s="28" t="n"/>
      <c r="AJ6" s="28" t="n"/>
      <c r="AK6" s="28" t="n"/>
      <c r="AL6" s="28" t="n"/>
      <c r="AM6" s="28" t="n"/>
      <c r="AN6" s="28" t="n"/>
      <c r="AO6" s="28" t="n"/>
      <c r="AP6" s="28" t="n"/>
      <c r="AQ6" s="28" t="n"/>
      <c r="AR6" s="28" t="n"/>
      <c r="AS6" s="28" t="n"/>
      <c r="AT6" s="28" t="n"/>
      <c r="AU6" s="28" t="n"/>
    </row>
    <row r="7">
      <c r="A7" s="25" t="n">
        <v>500</v>
      </c>
      <c r="B7" s="25" t="n"/>
      <c r="D7" s="25" t="n">
        <v>14</v>
      </c>
      <c r="E7" s="27" t="inlineStr">
        <is>
          <t>(16-2)</t>
        </is>
      </c>
      <c r="F7" s="25" t="inlineStr">
        <is>
          <t>Save</t>
        </is>
      </c>
      <c r="G7" s="25" t="n">
        <v>8</v>
      </c>
      <c r="H7" s="25" t="n">
        <v>0</v>
      </c>
      <c r="I7" s="25" t="n">
        <v>4</v>
      </c>
      <c r="J7" s="25" t="n">
        <v>3</v>
      </c>
      <c r="K7" s="25" t="n">
        <v>6</v>
      </c>
      <c r="L7" s="25" t="n">
        <v>6</v>
      </c>
      <c r="P7" s="28" t="n"/>
      <c r="Q7" s="26" t="inlineStr">
        <is>
          <t>LANGUAGES</t>
        </is>
      </c>
      <c r="T7" s="28" t="inlineStr">
        <is>
          <t>ìdk brah</t>
        </is>
      </c>
      <c r="AD7" s="28" t="n"/>
      <c r="AE7" s="28" t="n"/>
      <c r="AF7" s="28" t="n"/>
      <c r="AG7" s="28" t="n"/>
      <c r="AH7" s="28" t="n"/>
      <c r="AI7" s="28" t="n"/>
      <c r="AJ7" s="28" t="n"/>
      <c r="AK7" s="28" t="n"/>
      <c r="AL7" s="28" t="n"/>
      <c r="AM7" s="28" t="n"/>
      <c r="AN7" s="28" t="n"/>
      <c r="AO7" s="28" t="n"/>
      <c r="AP7" s="28" t="n"/>
      <c r="AQ7" s="28" t="n"/>
      <c r="AR7" s="28" t="n"/>
      <c r="AS7" s="28" t="n"/>
      <c r="AT7" s="28" t="n"/>
      <c r="AU7" s="28" t="n"/>
    </row>
    <row r="8">
      <c r="P8" s="28" t="n"/>
      <c r="Q8" s="28" t="n"/>
      <c r="R8" s="28" t="n"/>
      <c r="S8" s="28" t="n"/>
      <c r="T8" s="28" t="n"/>
      <c r="U8" s="28" t="n"/>
      <c r="V8" s="28" t="n"/>
      <c r="W8" s="28" t="n"/>
      <c r="X8" s="28" t="n"/>
      <c r="Y8" s="28" t="n"/>
      <c r="Z8" s="28" t="n"/>
      <c r="AA8" s="28" t="n"/>
      <c r="AB8" s="28" t="n"/>
      <c r="AC8" s="28" t="n"/>
      <c r="AD8" s="28" t="n"/>
      <c r="AE8" s="28" t="n"/>
      <c r="AF8" s="28" t="n"/>
      <c r="AG8" s="28" t="n"/>
      <c r="AH8" s="28" t="n"/>
      <c r="AI8" s="28" t="n"/>
      <c r="AJ8" s="28" t="n"/>
      <c r="AK8" s="28" t="n"/>
      <c r="AL8" s="28" t="n"/>
      <c r="AM8" s="28" t="n"/>
      <c r="AN8" s="28" t="n"/>
      <c r="AO8" s="28" t="n"/>
      <c r="AP8" s="28" t="n"/>
      <c r="AQ8" s="28" t="n"/>
      <c r="AR8" s="28" t="n"/>
      <c r="AS8" s="28" t="n"/>
      <c r="AT8" s="28" t="n"/>
      <c r="AU8" s="28" t="n"/>
    </row>
    <row r="10">
      <c r="A10" s="30" t="inlineStr">
        <is>
          <t>Ataque</t>
        </is>
      </c>
      <c r="E10" s="30" t="inlineStr">
        <is>
          <t>Entropy</t>
        </is>
      </c>
      <c r="F10" s="30" t="inlineStr">
        <is>
          <t>Action</t>
        </is>
      </c>
      <c r="I10" s="30" t="inlineStr">
        <is>
          <t>Forma</t>
        </is>
      </c>
      <c r="L10" s="30" t="inlineStr">
        <is>
          <t>Range</t>
        </is>
      </c>
      <c r="M10" s="30" t="inlineStr">
        <is>
          <t>Type</t>
        </is>
      </c>
      <c r="P10" s="30" t="inlineStr">
        <is>
          <t>Damage</t>
        </is>
      </c>
      <c r="S10" s="30" t="inlineStr">
        <is>
          <t>Status</t>
        </is>
      </c>
      <c r="U10" s="40" t="inlineStr">
        <is>
          <t>Descripcion</t>
        </is>
      </c>
      <c r="AH10" s="30" t="inlineStr">
        <is>
          <t>Flavour</t>
        </is>
      </c>
    </row>
    <row r="11" ht="171.75" customHeight="1" s="77">
      <c r="A11" s="41" t="inlineStr">
        <is>
          <t>Traits</t>
        </is>
      </c>
      <c r="B11" s="78" t="n"/>
      <c r="C11" s="78" t="n"/>
      <c r="D11" s="78" t="n"/>
      <c r="E11" s="43" t="inlineStr">
        <is>
          <t>Remnant: This creature may switch between acting tactically and being overcome by instincts.
Improved Deadly: Abilities that deal a higher tier of damage. May have several objectives or be very hard to avoid
Adaptive: This creature can gain and lose traits.
Trapper: This creature has the ability to passively inflict negative effects against creatures who perform specific actions
Defender: This creature has a way to raise its defenses or defend itself. Attack negation and AC.
Afflicter: This creature can cause status effects, often stackable
Improved Combo: The abilities can be purposefully comboed, the enemy can set up their ability to combo with other abilities, not tied to randomness
Merciful: The creature will attempt to not execute downed players. This may mean unconscious characters are somehow unable to return to the battle. In addition, the whole party being defeated will never result in a TPK.
Moral Breaker: This creature possesses large amounts of crowd control effects, such as movement denial, and action skipping
Legend: This creature possesses a legendary ability. These are usually hidden and can only be revealed with Nat 20s in Martial checks.
Hidden Behind Nat20 Martial
Last Stand: This creature does not die immediately when reduced to 0 hit points.</t>
        </is>
      </c>
      <c r="F11" s="78" t="n"/>
      <c r="G11" s="78" t="n"/>
      <c r="H11" s="78" t="n"/>
      <c r="I11" s="78" t="n"/>
      <c r="J11" s="78" t="n"/>
      <c r="K11" s="78" t="n"/>
      <c r="L11" s="78" t="n"/>
      <c r="M11" s="78" t="n"/>
      <c r="N11" s="78" t="n"/>
      <c r="O11" s="78" t="n"/>
      <c r="P11" s="78" t="n"/>
      <c r="Q11" s="78" t="n"/>
      <c r="R11" s="78" t="n"/>
      <c r="S11" s="78" t="n"/>
      <c r="T11" s="78" t="n"/>
      <c r="U11" s="78" t="n"/>
      <c r="V11" s="78" t="n"/>
      <c r="W11" s="78" t="n"/>
      <c r="X11" s="78" t="n"/>
      <c r="Y11" s="78" t="n"/>
      <c r="Z11" s="78" t="n"/>
      <c r="AA11" s="78" t="n"/>
      <c r="AB11" s="78" t="n"/>
      <c r="AC11" s="78" t="n"/>
      <c r="AD11" s="78" t="n"/>
      <c r="AE11" s="78" t="n"/>
      <c r="AF11" s="78" t="n"/>
      <c r="AG11" s="78" t="n"/>
      <c r="AH11" s="78" t="n"/>
      <c r="AI11" s="78" t="n"/>
      <c r="AJ11" s="78" t="n"/>
      <c r="AK11" s="78" t="n"/>
      <c r="AL11" s="78" t="n"/>
      <c r="AM11" s="78" t="n"/>
      <c r="AN11" s="78" t="n"/>
      <c r="AO11" s="78" t="n"/>
      <c r="AP11" s="78" t="n"/>
      <c r="AQ11" s="78" t="n"/>
      <c r="AR11" s="78" t="n"/>
    </row>
    <row r="12" ht="137.25" customHeight="1" s="77">
      <c r="A12" s="36" t="inlineStr">
        <is>
          <t>The will to stop the gears to a halt
Nat20 Marcial
Legendary trait</t>
        </is>
      </c>
      <c r="E12" s="36" t="n"/>
      <c r="F12" s="36" t="inlineStr">
        <is>
          <t>Pasiva</t>
        </is>
      </c>
      <c r="I12" s="36" t="n"/>
      <c r="L12" s="36" t="n"/>
      <c r="M12" s="36" t="n"/>
      <c r="P12" s="36" t="n"/>
      <c r="S12" s="36" t="n"/>
      <c r="U12" s="38" t="inlineStr">
        <is>
          <t>When taking lethal damage this creature heals to 100HP, and becomes incapacitated with its core frozen solid in a state of shock
The nearby are starts freezing, as the heat is absorbed into the core: Triggering a DC 22 CON Saving Throw
Dealing 5d10 Glacial to everything in 5(30ft), half of that in 10 (60ft), and reduces the characters movement to 3 (15 ft) until the end of their next turn if the save is successful the creature takes half damage only
Both of these areas increase in radius by 2 (10ft) every 6 seconds
The crature becomes resistant to non-magical physical damage and immune to Fire, Glacial, Necrotic, Radiant and Force damage
If a minute passes without this creature dying it comes back fully restored.</t>
        </is>
      </c>
      <c r="AH12" s="38" t="n"/>
    </row>
    <row r="13">
      <c r="A13" s="75" t="inlineStr">
        <is>
          <t>Overheated</t>
        </is>
      </c>
      <c r="E13" s="75" t="n"/>
      <c r="F13" s="75" t="inlineStr">
        <is>
          <t>Pasiva</t>
        </is>
      </c>
      <c r="I13" s="75" t="n"/>
      <c r="L13" s="75" t="n"/>
      <c r="M13" s="75" t="n"/>
      <c r="S13" s="75" t="n"/>
      <c r="U13" s="76" t="inlineStr">
        <is>
          <t>Wes Ritchie starts this combat at 300HP and 500 Entropy, it is in an enraged state attacking the closest enemies. 
After every round this creature loses 100 Entropy. 
He leaves this state after going under 200 Entropy.
The metal below his cloak is starting to melt, AC, attack roll, spell save is reduced by 2</t>
        </is>
      </c>
      <c r="AH13" s="76" t="inlineStr">
        <is>
          <t>Normalmente empezaria a 100 entropy y no perderia</t>
        </is>
      </c>
    </row>
    <row r="14">
      <c r="A14" s="48" t="inlineStr">
        <is>
          <t>Raindrops Skip</t>
        </is>
      </c>
      <c r="E14" s="46" t="n"/>
      <c r="F14" s="48" t="inlineStr">
        <is>
          <t>Pasiva</t>
        </is>
      </c>
      <c r="I14" s="48" t="inlineStr">
        <is>
          <t>Single</t>
        </is>
      </c>
      <c r="L14" s="48" t="n"/>
      <c r="M14" s="48" t="inlineStr">
        <is>
          <t>Slash</t>
        </is>
      </c>
      <c r="P14" s="48" t="n"/>
      <c r="S14" s="48" t="n"/>
      <c r="U14" s="49" t="inlineStr">
        <is>
          <t>This unit may use any of its movement as flight by skipping on the raindrops when under 200 Entropy</t>
        </is>
      </c>
      <c r="AH14" s="48" t="n"/>
      <c r="AS14" s="28" t="n"/>
      <c r="AT14" s="28" t="n"/>
      <c r="AU14" s="28" t="n"/>
    </row>
    <row r="15">
      <c r="A15" s="75" t="inlineStr">
        <is>
          <t>Entropy Accumulation</t>
        </is>
      </c>
      <c r="E15" s="75" t="n"/>
      <c r="F15" s="75" t="inlineStr">
        <is>
          <t>Pasiva</t>
        </is>
      </c>
      <c r="I15" s="75" t="n"/>
      <c r="L15" s="75" t="n"/>
      <c r="M15" s="75" t="n"/>
      <c r="S15" s="75" t="n"/>
      <c r="U15" s="76" t="inlineStr">
        <is>
          <t>When taking damage, Wes stores the entropy in the exchange as Entropy. 
When healing damage the creature loses Entropy instead. 
This accumulates up to a max of 300. Numbers will be rounded to 
Fire, Radiant and Force damage double the amount of Entropy Accumulation gained.
Cold and Necrotic damage lose Entropy Accumulation instead.
Wes' own abilities may affect this counter.</t>
        </is>
      </c>
      <c r="AH15" s="76" t="n"/>
    </row>
    <row r="16">
      <c r="A16" s="36" t="inlineStr">
        <is>
          <t>Thermal Shock</t>
        </is>
      </c>
      <c r="E16" s="36" t="n"/>
      <c r="F16" s="36" t="inlineStr">
        <is>
          <t>Pasiva</t>
        </is>
      </c>
      <c r="I16" s="36" t="inlineStr">
        <is>
          <t>Circle</t>
        </is>
      </c>
      <c r="L16" s="36" t="inlineStr">
        <is>
          <t>R2</t>
        </is>
      </c>
      <c r="M16" s="36" t="inlineStr">
        <is>
          <t>Force</t>
        </is>
      </c>
      <c r="P16" s="36" t="inlineStr">
        <is>
          <t>DC 17 DEX</t>
        </is>
      </c>
      <c r="S16" s="36" t="n"/>
      <c r="U16" s="38" t="inlineStr">
        <is>
          <t>When Entropy Accumulation drops by 100 or more in a turn (from starting Entropy), it triggers an explosion with a radius of 3 (15ft) dealing 1d12 force damage for every 50 difference. 
On success nothing
This triggers at the end his second turn.</t>
        </is>
      </c>
      <c r="AH16" s="38" t="n"/>
    </row>
    <row r="17">
      <c r="A17" s="75" t="inlineStr">
        <is>
          <t>Critical State</t>
        </is>
      </c>
      <c r="E17" s="75" t="n">
        <v>0</v>
      </c>
      <c r="F17" s="75" t="inlineStr">
        <is>
          <t>Pasiva</t>
        </is>
      </c>
      <c r="I17" s="75" t="inlineStr">
        <is>
          <t>Single</t>
        </is>
      </c>
      <c r="L17" s="75" t="n"/>
      <c r="M17" s="75" t="inlineStr">
        <is>
          <t>Slash</t>
        </is>
      </c>
      <c r="S17" s="75" t="n"/>
      <c r="U17" s="76" t="inlineStr">
        <is>
          <t>When at lower than 100 Entropy:
- Cold damage dealt by Wes turn to Glacial damage
- Reduces 2 (10ft) of movement on hit down to a minimum of 2 (10ft)
- Rolls minimum Fire damage
When at higher than 200 Entropy:
- Fire damage dealt by Wes turn to Infernal damage
- Inflicts 2 extra Burn 
- Rolls minimum Cold damage</t>
        </is>
      </c>
      <c r="AH17" s="76" t="n"/>
    </row>
    <row r="18">
      <c r="A18" s="50" t="inlineStr">
        <is>
          <t>Heat Sink</t>
        </is>
      </c>
      <c r="E18" s="51" t="inlineStr">
        <is>
          <t>10x</t>
        </is>
      </c>
      <c r="F18" s="48" t="inlineStr">
        <is>
          <t>Pasiva</t>
        </is>
      </c>
      <c r="I18" s="48" t="inlineStr">
        <is>
          <t>Aura</t>
        </is>
      </c>
      <c r="L18" s="48" t="inlineStr">
        <is>
          <t>R2</t>
        </is>
      </c>
      <c r="M18" s="48" t="inlineStr">
        <is>
          <t>Other</t>
        </is>
      </c>
      <c r="P18" s="48" t="n"/>
      <c r="S18" s="48" t="n"/>
      <c r="U18" s="49" t="inlineStr">
        <is>
          <t>Start of turn, drains Entropy gaining +10 Entropy per enemy within 3 (15 ft)</t>
        </is>
      </c>
      <c r="AH18" s="48" t="n"/>
      <c r="AS18" s="28" t="n"/>
      <c r="AT18" s="28" t="n"/>
      <c r="AU18" s="28" t="n"/>
    </row>
    <row r="19">
      <c r="A19" s="54" t="inlineStr">
        <is>
          <t>Entropic Umbrella</t>
        </is>
      </c>
      <c r="B19" s="81" t="n"/>
      <c r="C19" s="81" t="n"/>
      <c r="D19" s="81" t="n"/>
      <c r="E19" s="54" t="n">
        <v>0</v>
      </c>
      <c r="F19" s="54" t="inlineStr">
        <is>
          <t>Reacc</t>
        </is>
      </c>
      <c r="G19" s="81" t="n"/>
      <c r="H19" s="81" t="n"/>
      <c r="I19" s="54" t="inlineStr">
        <is>
          <t>Single</t>
        </is>
      </c>
      <c r="J19" s="81" t="n"/>
      <c r="K19" s="81" t="n"/>
      <c r="L19" s="54" t="n"/>
      <c r="M19" s="54" t="inlineStr">
        <is>
          <t>Slash</t>
        </is>
      </c>
      <c r="N19" s="81" t="n"/>
      <c r="O19" s="81" t="n"/>
      <c r="P19" s="54" t="n"/>
      <c r="Q19" s="81" t="n"/>
      <c r="R19" s="81" t="n"/>
      <c r="S19" s="54" t="n"/>
      <c r="T19" s="81" t="n"/>
      <c r="U19" s="56" t="inlineStr">
        <is>
          <t>AC+3, if the attack misses this still absorbs Entropy (rolling the damage)</t>
        </is>
      </c>
      <c r="V19" s="81" t="n"/>
      <c r="W19" s="81" t="n"/>
      <c r="X19" s="81" t="n"/>
      <c r="Y19" s="81" t="n"/>
      <c r="Z19" s="81" t="n"/>
      <c r="AA19" s="81" t="n"/>
      <c r="AB19" s="81" t="n"/>
      <c r="AC19" s="81" t="n"/>
      <c r="AD19" s="81" t="n"/>
      <c r="AE19" s="81" t="n"/>
      <c r="AF19" s="81" t="n"/>
      <c r="AG19" s="81" t="n"/>
      <c r="AH19" s="56" t="n"/>
      <c r="AI19" s="81" t="n"/>
      <c r="AJ19" s="81" t="n"/>
      <c r="AK19" s="81" t="n"/>
      <c r="AL19" s="81" t="n"/>
      <c r="AM19" s="81" t="n"/>
      <c r="AN19" s="81" t="n"/>
      <c r="AO19" s="81" t="n"/>
      <c r="AP19" s="81" t="n"/>
      <c r="AQ19" s="81" t="n"/>
      <c r="AR19" s="81" t="n"/>
      <c r="AS19" s="57" t="n"/>
      <c r="AT19" s="57" t="n"/>
      <c r="AU19" s="57" t="n"/>
    </row>
    <row r="20">
      <c r="A20" s="36" t="inlineStr">
        <is>
          <t>Entropy Absortion</t>
        </is>
      </c>
      <c r="E20" s="58" t="inlineStr">
        <is>
          <t>-+30</t>
        </is>
      </c>
      <c r="F20" s="36" t="inlineStr">
        <is>
          <t>Reacc</t>
        </is>
      </c>
      <c r="I20" s="36" t="inlineStr">
        <is>
          <t>Single</t>
        </is>
      </c>
      <c r="L20" s="36" t="n"/>
      <c r="M20" s="36" t="inlineStr">
        <is>
          <t>Slash</t>
        </is>
      </c>
      <c r="S20" s="36" t="n"/>
      <c r="U20" s="38" t="inlineStr">
        <is>
          <t>Counterspell for Fire or Cold Spells, no roll needed. When succesful, gains or loses 30 entropy respectively.</t>
        </is>
      </c>
      <c r="AH20" s="38" t="n"/>
    </row>
    <row r="21">
      <c r="A21" s="54" t="inlineStr">
        <is>
          <t>Cobalt Thrust</t>
        </is>
      </c>
      <c r="B21" s="81" t="n"/>
      <c r="C21" s="81" t="n"/>
      <c r="D21" s="81" t="n"/>
      <c r="E21" s="54" t="n">
        <v>0</v>
      </c>
      <c r="F21" s="54" t="inlineStr">
        <is>
          <t>AP</t>
        </is>
      </c>
      <c r="G21" s="81" t="n"/>
      <c r="H21" s="81" t="n"/>
      <c r="I21" s="54" t="inlineStr">
        <is>
          <t>Single</t>
        </is>
      </c>
      <c r="J21" s="81" t="n"/>
      <c r="K21" s="81" t="n"/>
      <c r="L21" s="54" t="n">
        <v>2</v>
      </c>
      <c r="M21" s="54" t="inlineStr">
        <is>
          <t>Piercing</t>
        </is>
      </c>
      <c r="N21" s="81" t="n"/>
      <c r="O21" s="81" t="n"/>
      <c r="P21" s="54" t="inlineStr">
        <is>
          <t>HIT +9 
2d8+4</t>
        </is>
      </c>
      <c r="Q21" s="81" t="n"/>
      <c r="R21" s="81" t="n"/>
      <c r="S21" s="54" t="n"/>
      <c r="T21" s="81" t="n"/>
      <c r="U21" s="56" t="inlineStr">
        <is>
          <t>Melee Attack
The creature hit has its Speed reduced by 2 (10 ft) until end of its next turn.</t>
        </is>
      </c>
      <c r="V21" s="81" t="n"/>
      <c r="W21" s="81" t="n"/>
      <c r="X21" s="81" t="n"/>
      <c r="Y21" s="81" t="n"/>
      <c r="Z21" s="81" t="n"/>
      <c r="AA21" s="81" t="n"/>
      <c r="AB21" s="81" t="n"/>
      <c r="AC21" s="81" t="n"/>
      <c r="AD21" s="81" t="n"/>
      <c r="AE21" s="81" t="n"/>
      <c r="AF21" s="81" t="n"/>
      <c r="AG21" s="81" t="n"/>
      <c r="AH21" s="56" t="n"/>
      <c r="AI21" s="81" t="n"/>
      <c r="AJ21" s="81" t="n"/>
      <c r="AK21" s="81" t="n"/>
      <c r="AL21" s="81" t="n"/>
      <c r="AM21" s="81" t="n"/>
      <c r="AN21" s="81" t="n"/>
      <c r="AO21" s="81" t="n"/>
      <c r="AP21" s="81" t="n"/>
      <c r="AQ21" s="81" t="n"/>
      <c r="AR21" s="81" t="n"/>
      <c r="AS21" s="57" t="n"/>
      <c r="AT21" s="57" t="n"/>
      <c r="AU21" s="57" t="n"/>
    </row>
    <row r="22">
      <c r="A22" s="36" t="inlineStr">
        <is>
          <t>Bludgeoning Strike</t>
        </is>
      </c>
      <c r="E22" s="36" t="n">
        <v>0</v>
      </c>
      <c r="F22" s="36" t="inlineStr">
        <is>
          <t>AP</t>
        </is>
      </c>
      <c r="I22" s="36" t="inlineStr">
        <is>
          <t>Single</t>
        </is>
      </c>
      <c r="L22" s="36" t="n">
        <v>1</v>
      </c>
      <c r="M22" s="36" t="inlineStr">
        <is>
          <t>Bludgeoning</t>
        </is>
      </c>
      <c r="P22" s="36" t="inlineStr">
        <is>
          <t>HIT +9 
3d8+6</t>
        </is>
      </c>
      <c r="S22" s="36" t="n"/>
      <c r="U22" s="38" t="inlineStr">
        <is>
          <t>Melee Attack</t>
        </is>
      </c>
      <c r="AH22" s="38" t="n"/>
    </row>
    <row r="23">
      <c r="A23" s="63" t="inlineStr">
        <is>
          <t>Condensation</t>
        </is>
      </c>
      <c r="B23" s="81" t="n"/>
      <c r="C23" s="81" t="n"/>
      <c r="D23" s="81" t="n"/>
      <c r="E23" s="60" t="n">
        <v>10</v>
      </c>
      <c r="F23" s="63" t="inlineStr">
        <is>
          <t>AS</t>
        </is>
      </c>
      <c r="G23" s="81" t="n"/>
      <c r="H23" s="81" t="n"/>
      <c r="I23" s="63" t="inlineStr">
        <is>
          <t>Self</t>
        </is>
      </c>
      <c r="J23" s="81" t="n"/>
      <c r="K23" s="81" t="n"/>
      <c r="L23" s="63" t="n"/>
      <c r="M23" s="63" t="inlineStr">
        <is>
          <t>Slash</t>
        </is>
      </c>
      <c r="N23" s="81" t="n"/>
      <c r="O23" s="81" t="n"/>
      <c r="P23" s="63" t="n"/>
      <c r="Q23" s="81" t="n"/>
      <c r="R23" s="81" t="n"/>
      <c r="S23" s="63" t="n"/>
      <c r="T23" s="81" t="n"/>
      <c r="U23" s="62" t="inlineStr">
        <is>
          <t>Moves 3 (15ft) without provoking attacks of opportunity and leaves a trail of ice behind making that area difficult terrain</t>
        </is>
      </c>
      <c r="V23" s="81" t="n"/>
      <c r="W23" s="81" t="n"/>
      <c r="X23" s="81" t="n"/>
      <c r="Y23" s="81" t="n"/>
      <c r="Z23" s="81" t="n"/>
      <c r="AA23" s="81" t="n"/>
      <c r="AB23" s="81" t="n"/>
      <c r="AC23" s="81" t="n"/>
      <c r="AD23" s="81" t="n"/>
      <c r="AE23" s="81" t="n"/>
      <c r="AF23" s="81" t="n"/>
      <c r="AG23" s="81" t="n"/>
      <c r="AH23" s="63" t="n"/>
      <c r="AI23" s="81" t="n"/>
      <c r="AJ23" s="81" t="n"/>
      <c r="AK23" s="81" t="n"/>
      <c r="AL23" s="81" t="n"/>
      <c r="AM23" s="81" t="n"/>
      <c r="AN23" s="81" t="n"/>
      <c r="AO23" s="81" t="n"/>
      <c r="AP23" s="81" t="n"/>
      <c r="AQ23" s="81" t="n"/>
      <c r="AR23" s="81" t="n"/>
      <c r="AS23" s="64" t="n"/>
      <c r="AT23" s="64" t="n"/>
      <c r="AU23" s="64" t="n"/>
    </row>
    <row r="24">
      <c r="A24" s="36" t="inlineStr">
        <is>
          <t>Endothermic Draw</t>
        </is>
      </c>
      <c r="E24" s="36" t="inlineStr">
        <is>
          <t>20x</t>
        </is>
      </c>
      <c r="F24" s="36" t="inlineStr">
        <is>
          <t>AS</t>
        </is>
      </c>
      <c r="I24" s="36" t="inlineStr">
        <is>
          <t>Circle</t>
        </is>
      </c>
      <c r="L24" s="36" t="inlineStr">
        <is>
          <t>R3</t>
        </is>
      </c>
      <c r="M24" s="36" t="inlineStr">
        <is>
          <t>Cold</t>
        </is>
      </c>
      <c r="P24" s="36" t="inlineStr">
        <is>
          <t>DC 17 CON
2d6</t>
        </is>
      </c>
      <c r="S24" s="36" t="n"/>
      <c r="U24" s="38" t="inlineStr">
        <is>
          <t>Circle R3 (15ft) 
Activates Heat Sinkx2 on a wider area dealing 2d6 Cold
On success half damage</t>
        </is>
      </c>
      <c r="AH24" s="38" t="n"/>
    </row>
    <row r="25">
      <c r="A25" s="75" t="inlineStr">
        <is>
          <t>Cryogenic Drops</t>
        </is>
      </c>
      <c r="E25" s="75" t="n">
        <v>20</v>
      </c>
      <c r="F25" s="75" t="inlineStr">
        <is>
          <t>AP</t>
        </is>
      </c>
      <c r="I25" s="75" t="inlineStr">
        <is>
          <t>Single</t>
        </is>
      </c>
      <c r="L25" s="65" t="n">
        <v>46185</v>
      </c>
      <c r="M25" s="75" t="inlineStr">
        <is>
          <t>Cold</t>
        </is>
      </c>
      <c r="P25" s="75" t="inlineStr">
        <is>
          <t>HIT +9 
2d10+10</t>
        </is>
      </c>
      <c r="S25" s="75" t="n"/>
      <c r="U25" s="76" t="inlineStr">
        <is>
          <t>Ranged attack
The creature hit has its Speed reduced by 2 (10 ft) until end of its next turn.</t>
        </is>
      </c>
      <c r="AH25" s="76" t="n"/>
    </row>
    <row r="26">
      <c r="A26" s="36" t="inlineStr">
        <is>
          <t>Rain Down</t>
        </is>
      </c>
      <c r="E26" s="36" t="n">
        <v>30</v>
      </c>
      <c r="F26" s="36" t="inlineStr">
        <is>
          <t>AP</t>
        </is>
      </c>
      <c r="I26" s="36" t="inlineStr">
        <is>
          <t>Circle</t>
        </is>
      </c>
      <c r="L26" s="36" t="inlineStr">
        <is>
          <t>R3</t>
        </is>
      </c>
      <c r="M26" s="36" t="inlineStr">
        <is>
          <t>Cold</t>
        </is>
      </c>
      <c r="P26" s="36" t="inlineStr">
        <is>
          <t>DC 17 CON
3d6+6</t>
        </is>
      </c>
      <c r="S26" s="36" t="n"/>
      <c r="U26" s="38" t="inlineStr">
        <is>
          <t>Area attack
On success half only</t>
        </is>
      </c>
      <c r="AH26" s="38" t="n"/>
    </row>
    <row r="27">
      <c r="A27" s="66" t="inlineStr">
        <is>
          <t>Flash Freeze</t>
        </is>
      </c>
      <c r="B27" s="82" t="n"/>
      <c r="C27" s="82" t="n"/>
      <c r="D27" s="82" t="n"/>
      <c r="E27" s="66" t="n">
        <v>40</v>
      </c>
      <c r="F27" s="66" t="inlineStr">
        <is>
          <t>AP</t>
        </is>
      </c>
      <c r="G27" s="82" t="n"/>
      <c r="H27" s="82" t="n"/>
      <c r="I27" s="66" t="inlineStr">
        <is>
          <t>Single</t>
        </is>
      </c>
      <c r="J27" s="82" t="n"/>
      <c r="K27" s="82" t="n"/>
      <c r="L27" s="66" t="n">
        <v>1</v>
      </c>
      <c r="M27" s="66" t="inlineStr">
        <is>
          <t>Cold</t>
        </is>
      </c>
      <c r="N27" s="82" t="n"/>
      <c r="O27" s="82" t="n"/>
      <c r="P27" s="66" t="inlineStr">
        <is>
          <t>DC 17 CON
4d4+12</t>
        </is>
      </c>
      <c r="Q27" s="82" t="n"/>
      <c r="R27" s="82" t="n"/>
      <c r="S27" s="66" t="n"/>
      <c r="T27" s="82" t="n"/>
      <c r="U27" s="69" t="inlineStr">
        <is>
          <t>Melee Attack
Freezes the nearby target, makes them vulnerable to Fire damage until the end of Wes' next turn or until the affected creature is hit with Fire damage
On success half only</t>
        </is>
      </c>
      <c r="V27" s="82" t="n"/>
      <c r="W27" s="82" t="n"/>
      <c r="X27" s="82" t="n"/>
      <c r="Y27" s="82" t="n"/>
      <c r="Z27" s="82" t="n"/>
      <c r="AA27" s="82" t="n"/>
      <c r="AB27" s="82" t="n"/>
      <c r="AC27" s="82" t="n"/>
      <c r="AD27" s="82" t="n"/>
      <c r="AE27" s="82" t="n"/>
      <c r="AF27" s="82" t="n"/>
      <c r="AG27" s="82" t="n"/>
      <c r="AH27" s="69" t="n"/>
      <c r="AI27" s="82" t="n"/>
      <c r="AJ27" s="82" t="n"/>
      <c r="AK27" s="82" t="n"/>
      <c r="AL27" s="82" t="n"/>
      <c r="AM27" s="82" t="n"/>
      <c r="AN27" s="82" t="n"/>
      <c r="AO27" s="82" t="n"/>
      <c r="AP27" s="82" t="n"/>
      <c r="AQ27" s="82" t="n"/>
      <c r="AR27" s="82" t="n"/>
      <c r="AS27" s="70" t="n"/>
      <c r="AT27" s="70" t="n"/>
      <c r="AU27" s="70" t="n"/>
    </row>
    <row r="28">
      <c r="A28" s="36" t="inlineStr">
        <is>
          <t>Abrasive Umbrella</t>
        </is>
      </c>
      <c r="E28" s="36" t="n">
        <v>-10</v>
      </c>
      <c r="F28" s="36" t="inlineStr">
        <is>
          <t>AS</t>
        </is>
      </c>
      <c r="I28" s="36" t="inlineStr">
        <is>
          <t>Single</t>
        </is>
      </c>
      <c r="L28" s="36" t="n">
        <v>1</v>
      </c>
      <c r="M28" s="36" t="inlineStr">
        <is>
          <t>Other</t>
        </is>
      </c>
      <c r="P28" s="36" t="inlineStr">
        <is>
          <t xml:space="preserve">1d8 </t>
        </is>
      </c>
      <c r="S28" s="36" t="inlineStr">
        <is>
          <t>Burn 8</t>
        </is>
      </c>
      <c r="U28" s="38" t="inlineStr">
        <is>
          <t>Empowered Attack
Next Umbrella Attack deals fire damage, has an extra 1d8 of damage and inflicts Burn 8</t>
        </is>
      </c>
      <c r="AH28" s="38" t="n"/>
    </row>
    <row r="29">
      <c r="A29" s="75" t="inlineStr">
        <is>
          <t>Flare</t>
        </is>
      </c>
      <c r="E29" s="75" t="n">
        <v>-40</v>
      </c>
      <c r="F29" s="75" t="inlineStr">
        <is>
          <t>AP</t>
        </is>
      </c>
      <c r="I29" s="75" t="inlineStr">
        <is>
          <t>Cone</t>
        </is>
      </c>
      <c r="L29" s="75" t="inlineStr">
        <is>
          <t>R3</t>
        </is>
      </c>
      <c r="M29" s="75" t="inlineStr">
        <is>
          <t>Fire</t>
        </is>
      </c>
      <c r="P29" s="75" t="inlineStr">
        <is>
          <t>DC 17 DEX
5d6</t>
        </is>
      </c>
      <c r="S29" s="75" t="inlineStr">
        <is>
          <t>Burn 6</t>
        </is>
      </c>
      <c r="U29" s="76" t="inlineStr">
        <is>
          <t>Cone 3 (15ft)
Burn 6
On success half only</t>
        </is>
      </c>
      <c r="AH29" s="76" t="n"/>
    </row>
    <row r="30">
      <c r="A30" s="36" t="inlineStr">
        <is>
          <t>Thermal Lance</t>
        </is>
      </c>
      <c r="E30" s="36" t="n">
        <v>-60</v>
      </c>
      <c r="F30" s="36" t="inlineStr">
        <is>
          <t>AP</t>
        </is>
      </c>
      <c r="I30" s="36" t="inlineStr">
        <is>
          <t>Single</t>
        </is>
      </c>
      <c r="L30" s="71" t="n">
        <v>46185</v>
      </c>
      <c r="M30" s="36" t="inlineStr">
        <is>
          <t>Fire</t>
        </is>
      </c>
      <c r="P30" s="36" t="inlineStr">
        <is>
          <t>HIT +9 
5d8</t>
        </is>
      </c>
      <c r="S30" s="38" t="inlineStr">
        <is>
          <t>Burn 10</t>
        </is>
      </c>
      <c r="U30" s="38" t="inlineStr">
        <is>
          <t>Ranged Attack
Burn 10</t>
        </is>
      </c>
      <c r="AH30" s="38" t="n"/>
    </row>
    <row r="31">
      <c r="A31" s="75" t="inlineStr">
        <is>
          <t>Flame Grab</t>
        </is>
      </c>
      <c r="E31" s="75" t="n">
        <v>-60</v>
      </c>
      <c r="F31" s="75" t="inlineStr">
        <is>
          <t>AP</t>
        </is>
      </c>
      <c r="I31" s="75" t="inlineStr">
        <is>
          <t>Single</t>
        </is>
      </c>
      <c r="L31" s="75" t="n">
        <v>2</v>
      </c>
      <c r="M31" s="75" t="inlineStr">
        <is>
          <t>Fire</t>
        </is>
      </c>
      <c r="P31" s="75" t="inlineStr">
        <is>
          <t>DC 17 CON
3d6</t>
        </is>
      </c>
      <c r="S31" s="76" t="inlineStr">
        <is>
          <t>Burn 30</t>
        </is>
      </c>
      <c r="U31" s="76" t="inlineStr">
        <is>
          <t>Melee Attack
Burn 30
On success half only</t>
        </is>
      </c>
      <c r="AH31" s="76" t="n"/>
    </row>
    <row r="32" ht="38.25" customHeight="1" s="77">
      <c r="A32" s="36" t="inlineStr">
        <is>
          <t>Scorching Rain</t>
        </is>
      </c>
      <c r="E32" s="36" t="n">
        <v>-80</v>
      </c>
      <c r="F32" s="36" t="inlineStr">
        <is>
          <t>AS</t>
        </is>
      </c>
      <c r="I32" s="36" t="inlineStr">
        <is>
          <t>Circle</t>
        </is>
      </c>
      <c r="L32" s="36" t="inlineStr">
        <is>
          <t>R4</t>
        </is>
      </c>
      <c r="M32" s="36" t="inlineStr">
        <is>
          <t>Fire</t>
        </is>
      </c>
      <c r="P32" s="36" t="inlineStr">
        <is>
          <t>1d6</t>
        </is>
      </c>
      <c r="S32" s="36" t="inlineStr">
        <is>
          <t>Burn 6</t>
        </is>
      </c>
      <c r="U32" s="38" t="inlineStr">
        <is>
          <t>Circle R4 (20ft) Damaging terrain
Creates an area of boiling hot rain, any creature that enters or ends its turn in the area receives 1d6 Fire and Burn 6
This area lasts 1 minute or until recast</t>
        </is>
      </c>
      <c r="AH32" s="38" t="n"/>
    </row>
    <row r="33">
      <c r="A33" s="75" t="inlineStr">
        <is>
          <t>Preassure Purge</t>
        </is>
      </c>
      <c r="E33" s="75" t="n">
        <v>-90</v>
      </c>
      <c r="F33" s="75" t="inlineStr">
        <is>
          <t>AP</t>
        </is>
      </c>
      <c r="I33" s="75" t="inlineStr">
        <is>
          <t>Line</t>
        </is>
      </c>
      <c r="L33" s="75" t="n">
        <v>12</v>
      </c>
      <c r="M33" s="75" t="inlineStr">
        <is>
          <t>Fire</t>
        </is>
      </c>
      <c r="P33" s="75" t="inlineStr">
        <is>
          <t>DC 17 DEX
12d6</t>
        </is>
      </c>
      <c r="S33" s="75" t="inlineStr">
        <is>
          <t>Burn 12
Prone</t>
        </is>
      </c>
      <c r="U33" s="76" t="inlineStr">
        <is>
          <t>Line 12 (60ft) 10ft wide
Burn 12
Prone
On success half only</t>
        </is>
      </c>
      <c r="AH33" s="76" t="n"/>
    </row>
    <row r="34">
      <c r="A34" s="48" t="inlineStr">
        <is>
          <t>Detonation</t>
        </is>
      </c>
      <c r="E34" s="46" t="n">
        <v>-150</v>
      </c>
      <c r="F34" s="48" t="inlineStr">
        <is>
          <t>AP</t>
        </is>
      </c>
      <c r="I34" s="48" t="inlineStr">
        <is>
          <t>Cone</t>
        </is>
      </c>
      <c r="L34" s="48" t="inlineStr">
        <is>
          <t>R3</t>
        </is>
      </c>
      <c r="M34" s="48" t="inlineStr">
        <is>
          <t>Fire</t>
        </is>
      </c>
      <c r="P34" s="48" t="inlineStr">
        <is>
          <t>DC 17 CON
Burn x 3</t>
        </is>
      </c>
      <c r="S34" s="48" t="n"/>
      <c r="U34" s="49" t="inlineStr">
        <is>
          <t xml:space="preserve">For each target, the Burn multiplied by 3 and is dealt as Fire damage
Purges all negative status effects from the target
The Fire damage dealt by this ability raises the Entropy level by the same amount
On success half damage </t>
        </is>
      </c>
      <c r="AH34" s="49" t="n"/>
      <c r="AS34" s="28" t="n"/>
      <c r="AT34" s="28" t="n"/>
      <c r="AU34" s="28" t="n"/>
    </row>
    <row r="35">
      <c r="A35" s="41" t="inlineStr">
        <is>
          <t>Spell List (just in case)</t>
        </is>
      </c>
      <c r="B35" s="78" t="n"/>
      <c r="C35" s="78" t="n"/>
      <c r="D35" s="78" t="n"/>
      <c r="E35" s="43" t="inlineStr">
        <is>
          <t>Lvl 1 Bane: DC 17 CHA (3 obj, 30ft). Restan -1d4 a todos sus ataques y salvaciones. 
Lvl 1 Silvery Barbs: React (60ft). Cancela el éxito de un enemigo obligando a usar el dado bajo. 
Lvl 3 Slow: DC 17 WIS (Cubo 40ft). Mitad Vel., -2 CA, sin Reacciones, 1 solo ataque, eligen entre Acción o Bonus (no ambas). 
Lvl 3 Fear: DC 17 WIS (Cono 30ft). Sueltan armas, Desventaja en todo y huyen corriendo obligatoriamente. 
Lvl 3 Counterspell
Lvl 3 Hypnotic Pattern: DC 17 WIS (Cubo 30ft). Charm: Incapacitados (Vel. 0) hasta recibir daño o que alguien gaste su acción en despertarlos. 
Lvl 4 Confusion: DC 17 WIS (Radio 10ft). Tiran 1d10 y actúan al azar (caminar sin rumbo, no hacer nada, pegar al aliado, etc). 
Lvl 5 Synaptic Static: DC 17 INT (Radio 20ft). Daño psíquico y restan -1d6 a todos sus ataques y habilidades por 1 minuto. 
Lvl 5 Wall of Force: Sin tirada. Muro o cúpula física indestructible. Divide y aísla a los jugadores.</t>
        </is>
      </c>
      <c r="F35" s="78" t="n"/>
      <c r="G35" s="78" t="n"/>
      <c r="H35" s="78" t="n"/>
      <c r="I35" s="78" t="n"/>
      <c r="J35" s="78" t="n"/>
      <c r="K35" s="78" t="n"/>
      <c r="L35" s="78" t="n"/>
      <c r="M35" s="78" t="n"/>
      <c r="N35" s="78" t="n"/>
      <c r="O35" s="78" t="n"/>
      <c r="P35" s="78" t="n"/>
      <c r="Q35" s="78" t="n"/>
      <c r="R35" s="78" t="n"/>
      <c r="S35" s="78" t="n"/>
      <c r="T35" s="78" t="n"/>
      <c r="U35" s="78" t="n"/>
      <c r="V35" s="78" t="n"/>
      <c r="W35" s="78" t="n"/>
      <c r="X35" s="78" t="n"/>
      <c r="Y35" s="78" t="n"/>
      <c r="Z35" s="78" t="n"/>
      <c r="AA35" s="78" t="n"/>
      <c r="AB35" s="78" t="n"/>
      <c r="AC35" s="78" t="n"/>
      <c r="AD35" s="78" t="n"/>
      <c r="AE35" s="78" t="n"/>
      <c r="AF35" s="78" t="n"/>
      <c r="AG35" s="78" t="n"/>
      <c r="AH35" s="78" t="n"/>
      <c r="AI35" s="78" t="n"/>
      <c r="AJ35" s="78" t="n"/>
      <c r="AK35" s="78" t="n"/>
      <c r="AL35" s="78" t="n"/>
      <c r="AM35" s="78" t="n"/>
      <c r="AN35" s="78" t="n"/>
      <c r="AO35" s="78" t="n"/>
      <c r="AP35" s="78" t="n"/>
      <c r="AQ35" s="78" t="n"/>
      <c r="AR35" s="78" t="n"/>
    </row>
    <row r="36">
      <c r="A36" s="72" t="n"/>
      <c r="B36" s="82" t="n"/>
      <c r="C36" s="82" t="n"/>
      <c r="D36" s="82" t="n"/>
      <c r="E36" s="72" t="n"/>
      <c r="F36" s="72" t="n"/>
      <c r="G36" s="82" t="n"/>
      <c r="H36" s="82" t="n"/>
      <c r="I36" s="72" t="n"/>
      <c r="J36" s="82" t="n"/>
      <c r="K36" s="82" t="n"/>
      <c r="L36" s="72" t="n"/>
      <c r="M36" s="72" t="n"/>
      <c r="N36" s="82" t="n"/>
      <c r="O36" s="82" t="n"/>
      <c r="P36" s="72" t="n"/>
      <c r="Q36" s="82" t="n"/>
      <c r="R36" s="82" t="n"/>
      <c r="S36" s="72" t="n"/>
      <c r="T36" s="82" t="n"/>
      <c r="U36" s="74" t="n"/>
      <c r="V36" s="82" t="n"/>
      <c r="W36" s="82" t="n"/>
      <c r="X36" s="82" t="n"/>
      <c r="Y36" s="82" t="n"/>
      <c r="Z36" s="82" t="n"/>
      <c r="AA36" s="82" t="n"/>
      <c r="AB36" s="82" t="n"/>
      <c r="AC36" s="82" t="n"/>
      <c r="AD36" s="82" t="n"/>
      <c r="AE36" s="82" t="n"/>
      <c r="AF36" s="82" t="n"/>
      <c r="AG36" s="82" t="n"/>
      <c r="AH36" s="74" t="n"/>
      <c r="AI36" s="82" t="n"/>
      <c r="AJ36" s="82" t="n"/>
      <c r="AK36" s="82" t="n"/>
      <c r="AL36" s="82" t="n"/>
      <c r="AM36" s="82" t="n"/>
      <c r="AN36" s="82" t="n"/>
      <c r="AO36" s="82" t="n"/>
      <c r="AP36" s="82" t="n"/>
      <c r="AQ36" s="82" t="n"/>
      <c r="AR36" s="82" t="n"/>
      <c r="AS36" s="70" t="n"/>
      <c r="AT36" s="70" t="n"/>
      <c r="AU36" s="70" t="n"/>
    </row>
    <row r="37">
      <c r="A37" s="75" t="inlineStr">
        <is>
          <t>Subir daños fireball hace 8d6 lmaoooo poner</t>
        </is>
      </c>
      <c r="B37" s="75" t="n"/>
      <c r="C37" s="75" t="n"/>
      <c r="D37" s="75" t="n"/>
      <c r="E37" s="75" t="n"/>
      <c r="F37" s="75" t="n"/>
      <c r="G37" s="75" t="n"/>
      <c r="H37" s="75" t="n"/>
      <c r="I37" s="75" t="n"/>
      <c r="J37" s="75" t="n"/>
      <c r="K37" s="75" t="n"/>
      <c r="L37" s="75" t="n"/>
      <c r="M37" s="75" t="n"/>
      <c r="N37" s="75" t="n"/>
      <c r="O37" s="75" t="n"/>
      <c r="P37" s="75" t="n"/>
      <c r="Q37" s="75" t="n"/>
      <c r="R37" s="75" t="n"/>
      <c r="S37" s="75" t="n"/>
      <c r="T37" s="75" t="n"/>
      <c r="U37" s="76"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c r="AO37" s="76" t="n"/>
      <c r="AP37" s="76" t="n"/>
      <c r="AQ37" s="76" t="n"/>
      <c r="AR37" s="76" t="n"/>
    </row>
  </sheetData>
  <mergeCells count="213">
    <mergeCell ref="I32:K32"/>
    <mergeCell ref="F36:H36"/>
    <mergeCell ref="F18:H18"/>
    <mergeCell ref="F33:H33"/>
    <mergeCell ref="S21:T21"/>
    <mergeCell ref="P27:R27"/>
    <mergeCell ref="P36:R36"/>
    <mergeCell ref="A20:D20"/>
    <mergeCell ref="A29:D29"/>
    <mergeCell ref="F17:H17"/>
    <mergeCell ref="P17:R17"/>
    <mergeCell ref="T6:AC6"/>
    <mergeCell ref="M12:O12"/>
    <mergeCell ref="U29:AG29"/>
    <mergeCell ref="A13:D13"/>
    <mergeCell ref="M21:O21"/>
    <mergeCell ref="Q6:S6"/>
    <mergeCell ref="I24:K24"/>
    <mergeCell ref="A31:D31"/>
    <mergeCell ref="F22:H22"/>
    <mergeCell ref="P19:R19"/>
    <mergeCell ref="F31:H31"/>
    <mergeCell ref="P28:R28"/>
    <mergeCell ref="U31:AG31"/>
    <mergeCell ref="A15:D15"/>
    <mergeCell ref="AH20:AR20"/>
    <mergeCell ref="I17:K17"/>
    <mergeCell ref="A24:D24"/>
    <mergeCell ref="P12:R12"/>
    <mergeCell ref="M24:O24"/>
    <mergeCell ref="P30:R30"/>
    <mergeCell ref="I10:K10"/>
    <mergeCell ref="S10:T10"/>
    <mergeCell ref="F14:H14"/>
    <mergeCell ref="S19:T19"/>
    <mergeCell ref="P14:R14"/>
    <mergeCell ref="I34:K34"/>
    <mergeCell ref="A16:D16"/>
    <mergeCell ref="U16:AG16"/>
    <mergeCell ref="S30:T30"/>
    <mergeCell ref="AH30:AR30"/>
    <mergeCell ref="U25:AG25"/>
    <mergeCell ref="A27:D27"/>
    <mergeCell ref="E35:AR35"/>
    <mergeCell ref="I36:K36"/>
    <mergeCell ref="S20:T20"/>
    <mergeCell ref="AH32:AR32"/>
    <mergeCell ref="F12:H12"/>
    <mergeCell ref="A33:D33"/>
    <mergeCell ref="F21:H21"/>
    <mergeCell ref="M20:O20"/>
    <mergeCell ref="S22:T22"/>
    <mergeCell ref="U28:AG28"/>
    <mergeCell ref="A17:D17"/>
    <mergeCell ref="Q5:S5"/>
    <mergeCell ref="A22:D22"/>
    <mergeCell ref="I22:K22"/>
    <mergeCell ref="I28:K28"/>
    <mergeCell ref="A35:D35"/>
    <mergeCell ref="S12:T12"/>
    <mergeCell ref="M22:O22"/>
    <mergeCell ref="M31:O31"/>
    <mergeCell ref="E11:AR11"/>
    <mergeCell ref="I12:K12"/>
    <mergeCell ref="A19:D19"/>
    <mergeCell ref="AH24:AR24"/>
    <mergeCell ref="I21:K21"/>
    <mergeCell ref="AH18:AR18"/>
    <mergeCell ref="AH33:AR33"/>
    <mergeCell ref="A28:D28"/>
    <mergeCell ref="M15:O15"/>
    <mergeCell ref="U20:AG20"/>
    <mergeCell ref="M28:O28"/>
    <mergeCell ref="P16:R16"/>
    <mergeCell ref="U14:AG14"/>
    <mergeCell ref="U23:AG23"/>
    <mergeCell ref="AH17:AR17"/>
    <mergeCell ref="I14:K14"/>
    <mergeCell ref="F27:H27"/>
    <mergeCell ref="I23:K23"/>
    <mergeCell ref="A30:D30"/>
    <mergeCell ref="F4:L4"/>
    <mergeCell ref="S23:T23"/>
    <mergeCell ref="P18:R18"/>
    <mergeCell ref="U22:AG22"/>
    <mergeCell ref="M26:O26"/>
    <mergeCell ref="AH10:AR10"/>
    <mergeCell ref="A11:D11"/>
    <mergeCell ref="S13:T13"/>
    <mergeCell ref="AH19:AR19"/>
    <mergeCell ref="M14:O14"/>
    <mergeCell ref="T5:AC5"/>
    <mergeCell ref="M29:O29"/>
    <mergeCell ref="U15:AG15"/>
    <mergeCell ref="M23:O23"/>
    <mergeCell ref="S15:T15"/>
    <mergeCell ref="S24:T24"/>
    <mergeCell ref="S33:T33"/>
    <mergeCell ref="Q7:S7"/>
    <mergeCell ref="F29:H29"/>
    <mergeCell ref="AH36:AR36"/>
    <mergeCell ref="P20:R20"/>
    <mergeCell ref="F25:H25"/>
    <mergeCell ref="P29:R29"/>
    <mergeCell ref="U32:AG32"/>
    <mergeCell ref="I27:K27"/>
    <mergeCell ref="A26:D26"/>
    <mergeCell ref="P22:R22"/>
    <mergeCell ref="P31:R31"/>
    <mergeCell ref="Q1:AC1"/>
    <mergeCell ref="F15:H15"/>
    <mergeCell ref="AH28:AR28"/>
    <mergeCell ref="F24:H24"/>
    <mergeCell ref="I25:K25"/>
    <mergeCell ref="P21:R21"/>
    <mergeCell ref="U24:AG24"/>
    <mergeCell ref="AH13:AR13"/>
    <mergeCell ref="U18:AG18"/>
    <mergeCell ref="U33:AG33"/>
    <mergeCell ref="AH21:AR21"/>
    <mergeCell ref="F32:H32"/>
    <mergeCell ref="T7:AC7"/>
    <mergeCell ref="F26:H26"/>
    <mergeCell ref="P23:R23"/>
    <mergeCell ref="M25:O25"/>
    <mergeCell ref="A10:D10"/>
    <mergeCell ref="M30:O30"/>
    <mergeCell ref="AH23:AR23"/>
    <mergeCell ref="F23:H23"/>
    <mergeCell ref="U10:AG10"/>
    <mergeCell ref="M33:O33"/>
    <mergeCell ref="U19:AG19"/>
    <mergeCell ref="F13:H13"/>
    <mergeCell ref="A34:D34"/>
    <mergeCell ref="M17:O17"/>
    <mergeCell ref="S14:T14"/>
    <mergeCell ref="S28:T28"/>
    <mergeCell ref="I20:K20"/>
    <mergeCell ref="I29:K29"/>
    <mergeCell ref="A36:D36"/>
    <mergeCell ref="M32:O32"/>
    <mergeCell ref="M19:O19"/>
    <mergeCell ref="P33:R33"/>
    <mergeCell ref="I13:K13"/>
    <mergeCell ref="AH34:AR34"/>
    <mergeCell ref="I31:K31"/>
    <mergeCell ref="I15:K15"/>
    <mergeCell ref="AH27:AR27"/>
    <mergeCell ref="F34:H34"/>
    <mergeCell ref="F16:H16"/>
    <mergeCell ref="P25:R25"/>
    <mergeCell ref="A12:D12"/>
    <mergeCell ref="A21:D21"/>
    <mergeCell ref="U13:AG13"/>
    <mergeCell ref="I26:K26"/>
    <mergeCell ref="S32:T32"/>
    <mergeCell ref="F30:H30"/>
    <mergeCell ref="S26:T26"/>
    <mergeCell ref="U21:AG21"/>
    <mergeCell ref="A32:D32"/>
    <mergeCell ref="A14:D14"/>
    <mergeCell ref="F20:H20"/>
    <mergeCell ref="I16:K16"/>
    <mergeCell ref="AH22:AR22"/>
    <mergeCell ref="A23:D23"/>
    <mergeCell ref="S16:T16"/>
    <mergeCell ref="M10:O10"/>
    <mergeCell ref="S25:T25"/>
    <mergeCell ref="AH25:AR25"/>
    <mergeCell ref="AH12:AR12"/>
    <mergeCell ref="M13:O13"/>
    <mergeCell ref="I18:K18"/>
    <mergeCell ref="M16:O16"/>
    <mergeCell ref="S18:T18"/>
    <mergeCell ref="S27:T27"/>
    <mergeCell ref="I33:K33"/>
    <mergeCell ref="AH14:AR14"/>
    <mergeCell ref="S17:T17"/>
    <mergeCell ref="M27:O27"/>
    <mergeCell ref="F28:H28"/>
    <mergeCell ref="P32:R32"/>
    <mergeCell ref="U26:AG26"/>
    <mergeCell ref="M36:O36"/>
    <mergeCell ref="M18:O18"/>
    <mergeCell ref="AH29:AR29"/>
    <mergeCell ref="P13:R13"/>
    <mergeCell ref="U34:AG34"/>
    <mergeCell ref="I19:K19"/>
    <mergeCell ref="AH31:AR31"/>
    <mergeCell ref="P15:R15"/>
    <mergeCell ref="S34:T34"/>
    <mergeCell ref="P24:R24"/>
    <mergeCell ref="U27:AG27"/>
    <mergeCell ref="AH15:AR15"/>
    <mergeCell ref="U36:AG36"/>
    <mergeCell ref="U30:AG30"/>
    <mergeCell ref="A25:D25"/>
    <mergeCell ref="U17:AG17"/>
    <mergeCell ref="M34:O34"/>
    <mergeCell ref="I30:K30"/>
    <mergeCell ref="S36:T36"/>
    <mergeCell ref="P26:R26"/>
    <mergeCell ref="F10:H10"/>
    <mergeCell ref="A18:D18"/>
    <mergeCell ref="F19:H19"/>
    <mergeCell ref="AH26:AR26"/>
    <mergeCell ref="P10:R10"/>
    <mergeCell ref="S29:T29"/>
    <mergeCell ref="F2:O2"/>
    <mergeCell ref="AH16:AR16"/>
    <mergeCell ref="P34:R34"/>
    <mergeCell ref="U12:AG12"/>
    <mergeCell ref="S31:T31"/>
  </mergeCells>
  <conditionalFormatting sqref="F1:O1">
    <cfRule type="expression" priority="1" dxfId="1">
      <formula>F1&lt;$B$1</formula>
    </cfRule>
  </conditionalFormatting>
  <dataValidations count="3">
    <dataValidation sqref="I12:I34 I36" showDropDown="0" showInputMessage="0" showErrorMessage="1" allowBlank="1" type="list">
      <formula1>"Single,Circle,Semi,Cone,Line,Free,Multi,Aura,Self"</formula1>
    </dataValidation>
    <dataValidation sqref="F12:F34 F36" showDropDown="0" showInputMessage="0" showErrorMessage="1" allowBlank="1" type="list">
      <formula1>"AP,AS,Reacc,Pasiva"</formula1>
    </dataValidation>
    <dataValidation sqref="M12:M34 M36" showDropDown="0" showInputMessage="0" showErrorMessage="1" allowBlank="1" type="list">
      <formula1>"Slash,Piercing,Bludgeoning,Fire,Cold,Lightning,Thunder,Poison,Acid,Radiant,Necrotic,Psychic,Force,Other"</formula1>
    </dataValidation>
  </dataValidations>
  <printOptions horizontalCentered="1" gridLines="1"/>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outlinePr summaryBelow="0" summaryRight="0"/>
    <pageSetUpPr fitToPage="1"/>
  </sheetPr>
  <dimension ref="A1:AU37"/>
  <sheetViews>
    <sheetView workbookViewId="0">
      <selection activeCell="A1" sqref="A1"/>
    </sheetView>
  </sheetViews>
  <sheetFormatPr baseColWidth="8" defaultColWidth="12.63" defaultRowHeight="15.75" customHeight="1"/>
  <cols>
    <col width="6.25" customWidth="1" style="77" min="1" max="1"/>
    <col width="7.63" customWidth="1" style="77" min="2" max="2"/>
    <col width="5.75" customWidth="1" style="77" min="3" max="3"/>
    <col width="6.38" customWidth="1" style="77" min="4" max="4"/>
    <col width="6.5" customWidth="1" style="77" min="5" max="5"/>
    <col width="4.5" customWidth="1" style="77" min="6" max="16"/>
    <col width="4.75" customWidth="1" style="77" min="17" max="17"/>
    <col width="4.25" customWidth="1" style="77" min="18" max="18"/>
    <col width="4.88" customWidth="1" style="77" min="19" max="19"/>
    <col width="4.5" customWidth="1" style="77" min="20" max="32"/>
    <col width="6.75" customWidth="1" style="77" min="33" max="33"/>
    <col width="4.5" customWidth="1" style="77" min="34" max="47"/>
  </cols>
  <sheetData>
    <row r="1">
      <c r="A1" s="1" t="inlineStr">
        <is>
          <t xml:space="preserve">PS </t>
        </is>
      </c>
      <c r="B1" s="2" t="n">
        <v>110</v>
      </c>
      <c r="C1" s="2" t="n">
        <v>110</v>
      </c>
      <c r="D1" s="3">
        <f>B1/C1</f>
        <v/>
      </c>
      <c r="E1" s="28" t="n"/>
      <c r="F1" s="6">
        <f>C1*0.1</f>
        <v/>
      </c>
      <c r="G1" s="6">
        <f>C1*0.2</f>
        <v/>
      </c>
      <c r="H1" s="6">
        <f>C1*0.3</f>
        <v/>
      </c>
      <c r="I1" s="6">
        <f>C1*0.4</f>
        <v/>
      </c>
      <c r="J1" s="6">
        <f>C1*0.5</f>
        <v/>
      </c>
      <c r="K1" s="6">
        <f>C1*0.6</f>
        <v/>
      </c>
      <c r="L1" s="6">
        <f>C1*0.7</f>
        <v/>
      </c>
      <c r="M1" s="6">
        <f>C1*0.8</f>
        <v/>
      </c>
      <c r="N1" s="6">
        <f>C1*0.9</f>
        <v/>
      </c>
      <c r="O1" s="6">
        <f>C1</f>
        <v/>
      </c>
      <c r="P1" s="28" t="n"/>
      <c r="Q1" s="16" t="inlineStr">
        <is>
          <t>RESISTANCES</t>
        </is>
      </c>
      <c r="R1" s="78" t="n"/>
      <c r="S1" s="78" t="n"/>
      <c r="T1" s="78" t="n"/>
      <c r="U1" s="78" t="n"/>
      <c r="V1" s="78" t="n"/>
      <c r="W1" s="78" t="n"/>
      <c r="X1" s="78" t="n"/>
      <c r="Y1" s="78" t="n"/>
      <c r="Z1" s="78" t="n"/>
      <c r="AA1" s="78" t="n"/>
      <c r="AB1" s="78" t="n"/>
      <c r="AC1" s="79" t="n"/>
      <c r="AD1" s="28" t="n"/>
      <c r="AE1" s="28" t="n"/>
      <c r="AF1" s="28" t="n"/>
      <c r="AG1" s="11" t="n"/>
      <c r="AH1" s="28" t="n"/>
      <c r="AI1" s="28" t="n"/>
      <c r="AJ1" s="28" t="n"/>
      <c r="AK1" s="28" t="n"/>
      <c r="AL1" s="28" t="n"/>
      <c r="AM1" s="28" t="n"/>
      <c r="AN1" s="28" t="n"/>
      <c r="AO1" s="28" t="n"/>
      <c r="AP1" s="28" t="n"/>
      <c r="AQ1" s="28" t="n"/>
      <c r="AR1" s="28" t="n"/>
      <c r="AS1" s="28" t="n"/>
      <c r="AT1" s="28" t="n"/>
      <c r="AU1" s="28" t="n"/>
    </row>
    <row r="2" ht="17.25" customHeight="1" s="77">
      <c r="A2" s="28" t="n"/>
      <c r="B2" s="28" t="n"/>
      <c r="C2" s="28" t="n"/>
      <c r="D2" s="28" t="n"/>
      <c r="E2" s="28" t="n"/>
      <c r="F2" s="12" t="inlineStr">
        <is>
          <t>Barra de PS</t>
        </is>
      </c>
      <c r="P2" s="28" t="n"/>
      <c r="Q2" s="13" t="inlineStr">
        <is>
          <t>Slash</t>
        </is>
      </c>
      <c r="R2" s="14" t="inlineStr">
        <is>
          <t>Pier</t>
        </is>
      </c>
      <c r="S2" s="13" t="inlineStr">
        <is>
          <t>Bludg</t>
        </is>
      </c>
      <c r="T2" s="14" t="inlineStr">
        <is>
          <t>Fire</t>
        </is>
      </c>
      <c r="U2" s="13" t="inlineStr">
        <is>
          <t>Cold</t>
        </is>
      </c>
      <c r="V2" s="14" t="inlineStr">
        <is>
          <t>Light</t>
        </is>
      </c>
      <c r="W2" s="13" t="inlineStr">
        <is>
          <t>Thun</t>
        </is>
      </c>
      <c r="X2" s="14" t="inlineStr">
        <is>
          <t>Pois</t>
        </is>
      </c>
      <c r="Y2" s="14" t="inlineStr">
        <is>
          <t>Acid</t>
        </is>
      </c>
      <c r="Z2" s="14" t="inlineStr">
        <is>
          <t>Rad</t>
        </is>
      </c>
      <c r="AA2" s="14" t="inlineStr">
        <is>
          <t>Nec</t>
        </is>
      </c>
      <c r="AB2" s="14" t="inlineStr">
        <is>
          <t>Psi</t>
        </is>
      </c>
      <c r="AC2" s="29" t="inlineStr">
        <is>
          <t>Forc</t>
        </is>
      </c>
      <c r="AD2" s="28" t="n"/>
      <c r="AE2" s="28" t="n"/>
      <c r="AF2" s="28" t="n"/>
      <c r="AG2" s="28" t="n"/>
      <c r="AH2" s="28" t="n"/>
      <c r="AI2" s="28" t="n"/>
      <c r="AJ2" s="28" t="n"/>
      <c r="AK2" s="28" t="n"/>
      <c r="AL2" s="28" t="n"/>
      <c r="AM2" s="28" t="n"/>
      <c r="AN2" s="28" t="n"/>
      <c r="AO2" s="28" t="n"/>
      <c r="AP2" s="28" t="n"/>
      <c r="AQ2" s="28" t="n"/>
      <c r="AR2" s="28" t="n"/>
      <c r="AS2" s="28" t="n"/>
      <c r="AT2" s="28" t="n"/>
      <c r="AU2" s="28" t="n"/>
    </row>
    <row r="3" ht="16.5" customHeight="1" s="77">
      <c r="A3" s="16" t="inlineStr">
        <is>
          <t>Speed</t>
        </is>
      </c>
      <c r="B3" s="21" t="inlineStr">
        <is>
          <t>Initiative</t>
        </is>
      </c>
      <c r="C3" s="21" t="inlineStr">
        <is>
          <t>SSDC</t>
        </is>
      </c>
      <c r="D3" s="21" t="inlineStr">
        <is>
          <t>AC</t>
        </is>
      </c>
      <c r="E3" s="28" t="n"/>
      <c r="F3" s="28" t="n"/>
      <c r="G3" s="28" t="n"/>
      <c r="H3" s="28" t="n"/>
      <c r="I3" s="28" t="n"/>
      <c r="J3" s="28" t="n"/>
      <c r="K3" s="28" t="n"/>
      <c r="L3" s="28" t="n"/>
      <c r="M3" s="28" t="n"/>
      <c r="N3" s="28" t="n"/>
      <c r="O3" s="28" t="n"/>
      <c r="P3" s="28" t="n"/>
      <c r="Q3" s="33" t="n"/>
      <c r="R3" s="32" t="n"/>
      <c r="S3" s="33" t="n"/>
      <c r="T3" s="32" t="n"/>
      <c r="U3" s="33" t="inlineStr">
        <is>
          <t>R</t>
        </is>
      </c>
      <c r="V3" s="32" t="n"/>
      <c r="W3" s="33" t="n"/>
      <c r="X3" s="32" t="inlineStr">
        <is>
          <t>Imm</t>
        </is>
      </c>
      <c r="Y3" s="32" t="n"/>
      <c r="Z3" s="32" t="n"/>
      <c r="AA3" s="32" t="inlineStr">
        <is>
          <t>R</t>
        </is>
      </c>
      <c r="AB3" s="32" t="n"/>
      <c r="AC3" s="32" t="n"/>
      <c r="AD3" s="28" t="n"/>
      <c r="AE3" s="28" t="n"/>
      <c r="AF3" s="28" t="n"/>
      <c r="AG3" s="20" t="n"/>
      <c r="AH3" s="20" t="n"/>
      <c r="AI3" s="20" t="n"/>
      <c r="AJ3" s="20" t="n"/>
      <c r="AK3" s="20" t="n"/>
      <c r="AL3" s="28" t="n"/>
      <c r="AM3" s="28" t="n"/>
      <c r="AN3" s="28" t="n"/>
      <c r="AO3" s="28" t="n"/>
      <c r="AP3" s="28" t="n"/>
      <c r="AQ3" s="28" t="n"/>
      <c r="AR3" s="28" t="n"/>
      <c r="AS3" s="28" t="n"/>
      <c r="AT3" s="28" t="n"/>
      <c r="AU3" s="28" t="n"/>
    </row>
    <row r="4">
      <c r="A4" s="21" t="inlineStr">
        <is>
          <t>5 - 25ft</t>
        </is>
      </c>
      <c r="B4" s="25" t="n"/>
      <c r="C4" s="25" t="n">
        <v>13</v>
      </c>
      <c r="D4" s="25" t="n">
        <v>14</v>
      </c>
      <c r="F4" s="80" t="inlineStr">
        <is>
          <t>STATS</t>
        </is>
      </c>
      <c r="G4" s="78" t="n"/>
      <c r="H4" s="78" t="n"/>
      <c r="I4" s="78" t="n"/>
      <c r="J4" s="78" t="n"/>
      <c r="K4" s="78" t="n"/>
      <c r="L4" s="79" t="n"/>
      <c r="M4" s="24" t="n"/>
      <c r="N4" s="24" t="inlineStr">
        <is>
          <t>—</t>
        </is>
      </c>
      <c r="O4" s="24" t="n"/>
      <c r="P4" s="28" t="n"/>
      <c r="Q4" s="28" t="n"/>
      <c r="R4" s="28" t="n"/>
      <c r="S4" s="28" t="n"/>
      <c r="T4" s="28" t="n"/>
      <c r="U4" s="28" t="n"/>
      <c r="V4" s="28" t="n"/>
      <c r="W4" s="28" t="n"/>
      <c r="X4" s="28" t="n"/>
      <c r="Y4" s="28" t="n"/>
      <c r="Z4" s="28" t="n"/>
      <c r="AA4" s="28" t="n"/>
      <c r="AB4" s="28" t="n"/>
      <c r="AC4" s="28" t="n"/>
      <c r="AD4" s="28" t="n"/>
      <c r="AE4" s="28" t="n"/>
      <c r="AF4" s="28" t="n"/>
      <c r="AG4" s="28" t="n"/>
      <c r="AH4" s="28" t="n"/>
      <c r="AI4" s="28" t="n"/>
      <c r="AJ4" s="28" t="n"/>
      <c r="AK4" s="28" t="n"/>
      <c r="AL4" s="28" t="n"/>
      <c r="AM4" s="28" t="n"/>
      <c r="AN4" s="28" t="n"/>
      <c r="AO4" s="28" t="n"/>
      <c r="AP4" s="28" t="n"/>
      <c r="AQ4" s="28" t="n"/>
      <c r="AR4" s="28" t="n"/>
      <c r="AS4" s="28" t="n"/>
      <c r="AT4" s="28" t="n"/>
      <c r="AU4" s="28" t="n"/>
    </row>
    <row r="5">
      <c r="C5" s="27" t="inlineStr"/>
      <c r="D5" s="27" t="inlineStr"/>
      <c r="F5" s="25" t="n"/>
      <c r="G5" s="25" t="inlineStr">
        <is>
          <t>CON</t>
        </is>
      </c>
      <c r="H5" s="25" t="inlineStr">
        <is>
          <t>STR</t>
        </is>
      </c>
      <c r="I5" s="25" t="inlineStr">
        <is>
          <t>DEX</t>
        </is>
      </c>
      <c r="J5" s="25" t="inlineStr">
        <is>
          <t>WIS</t>
        </is>
      </c>
      <c r="K5" s="25" t="inlineStr">
        <is>
          <t>INT</t>
        </is>
      </c>
      <c r="L5" s="25" t="inlineStr">
        <is>
          <t>CAR</t>
        </is>
      </c>
      <c r="P5" s="28" t="n"/>
      <c r="Q5" s="26" t="inlineStr">
        <is>
          <t>IMMUNITIES</t>
        </is>
      </c>
      <c r="T5" s="28" t="inlineStr">
        <is>
          <t>Poisoned</t>
        </is>
      </c>
      <c r="AD5" s="28" t="n"/>
      <c r="AE5" s="28" t="n"/>
      <c r="AF5" s="28" t="n"/>
      <c r="AG5" s="28" t="n"/>
      <c r="AH5" s="28" t="n"/>
      <c r="AI5" s="28" t="n"/>
      <c r="AJ5" s="28" t="n"/>
      <c r="AK5" s="28" t="n"/>
      <c r="AL5" s="28" t="n"/>
      <c r="AM5" s="28" t="n"/>
      <c r="AN5" s="28" t="n"/>
      <c r="AO5" s="28" t="n"/>
      <c r="AP5" s="28" t="n"/>
      <c r="AQ5" s="28" t="n"/>
      <c r="AR5" s="28" t="n"/>
      <c r="AS5" s="28" t="n"/>
      <c r="AT5" s="28" t="n"/>
      <c r="AU5" s="28" t="n"/>
    </row>
    <row r="6">
      <c r="A6" s="25" t="inlineStr">
        <is>
          <t>Entropy</t>
        </is>
      </c>
      <c r="B6" s="25" t="n"/>
      <c r="D6" s="25" t="inlineStr">
        <is>
          <t>MartDC</t>
        </is>
      </c>
      <c r="F6" s="25" t="inlineStr">
        <is>
          <t>Plus</t>
        </is>
      </c>
      <c r="G6" s="25" t="n">
        <v>3</v>
      </c>
      <c r="H6" s="25" t="n">
        <v>3</v>
      </c>
      <c r="I6" s="25" t="n">
        <v>1</v>
      </c>
      <c r="J6" s="25" t="n">
        <v>0</v>
      </c>
      <c r="K6" s="25" t="n">
        <v>-2</v>
      </c>
      <c r="L6" s="25" t="n">
        <v>0</v>
      </c>
      <c r="N6" s="27" t="n"/>
      <c r="P6" s="28" t="n"/>
      <c r="Q6" s="26" t="inlineStr">
        <is>
          <t>SENSES</t>
        </is>
      </c>
      <c r="T6" s="28" t="inlineStr">
        <is>
          <t>Normal</t>
        </is>
      </c>
      <c r="AD6" s="28" t="n"/>
      <c r="AE6" s="28" t="n"/>
      <c r="AF6" s="28" t="n"/>
      <c r="AG6" s="28" t="n"/>
      <c r="AH6" s="28" t="n"/>
      <c r="AI6" s="28" t="n"/>
      <c r="AJ6" s="28" t="n"/>
      <c r="AK6" s="28" t="n"/>
      <c r="AL6" s="28" t="n"/>
      <c r="AM6" s="28" t="n"/>
      <c r="AN6" s="28" t="n"/>
      <c r="AO6" s="28" t="n"/>
      <c r="AP6" s="28" t="n"/>
      <c r="AQ6" s="28" t="n"/>
      <c r="AR6" s="28" t="n"/>
      <c r="AS6" s="28" t="n"/>
      <c r="AT6" s="28" t="n"/>
      <c r="AU6" s="28" t="n"/>
    </row>
    <row r="7">
      <c r="A7" s="25" t="n">
        <v>0</v>
      </c>
      <c r="B7" s="25" t="n"/>
      <c r="D7" s="25" t="n">
        <v>12</v>
      </c>
      <c r="E7" s="27" t="inlineStr"/>
      <c r="F7" s="25" t="inlineStr">
        <is>
          <t>Save</t>
        </is>
      </c>
      <c r="G7" s="25" t="n">
        <v>5</v>
      </c>
      <c r="H7" s="25" t="n">
        <v>5</v>
      </c>
      <c r="I7" s="25" t="n">
        <v>1</v>
      </c>
      <c r="J7" s="25" t="n">
        <v>0</v>
      </c>
      <c r="K7" s="25" t="n">
        <v>-2</v>
      </c>
      <c r="L7" s="25" t="n">
        <v>0</v>
      </c>
      <c r="P7" s="28" t="n"/>
      <c r="Q7" s="26" t="inlineStr">
        <is>
          <t>LANGUAGES</t>
        </is>
      </c>
      <c r="T7" s="28" t="inlineStr">
        <is>
          <t>—</t>
        </is>
      </c>
      <c r="AD7" s="28" t="n"/>
      <c r="AE7" s="28" t="n"/>
      <c r="AF7" s="28" t="n"/>
      <c r="AG7" s="28" t="n"/>
      <c r="AH7" s="28" t="n"/>
      <c r="AI7" s="28" t="n"/>
      <c r="AJ7" s="28" t="n"/>
      <c r="AK7" s="28" t="n"/>
      <c r="AL7" s="28" t="n"/>
      <c r="AM7" s="28" t="n"/>
      <c r="AN7" s="28" t="n"/>
      <c r="AO7" s="28" t="n"/>
      <c r="AP7" s="28" t="n"/>
      <c r="AQ7" s="28" t="n"/>
      <c r="AR7" s="28" t="n"/>
      <c r="AS7" s="28" t="n"/>
      <c r="AT7" s="28" t="n"/>
      <c r="AU7" s="28" t="n"/>
    </row>
    <row r="8">
      <c r="P8" s="28" t="n"/>
      <c r="Q8" s="28" t="n"/>
      <c r="R8" s="28" t="n"/>
      <c r="S8" s="28" t="n"/>
      <c r="T8" s="28" t="n"/>
      <c r="U8" s="28" t="n"/>
      <c r="V8" s="28" t="n"/>
      <c r="W8" s="28" t="n"/>
      <c r="X8" s="28" t="n"/>
      <c r="Y8" s="28" t="n"/>
      <c r="Z8" s="28" t="n"/>
      <c r="AA8" s="28" t="n"/>
      <c r="AB8" s="28" t="n"/>
      <c r="AC8" s="28" t="n"/>
      <c r="AD8" s="28" t="n"/>
      <c r="AE8" s="28" t="n"/>
      <c r="AF8" s="28" t="n"/>
      <c r="AG8" s="28" t="n"/>
      <c r="AH8" s="28" t="n"/>
      <c r="AI8" s="28" t="n"/>
      <c r="AJ8" s="28" t="n"/>
      <c r="AK8" s="28" t="n"/>
      <c r="AL8" s="28" t="n"/>
      <c r="AM8" s="28" t="n"/>
      <c r="AN8" s="28" t="n"/>
      <c r="AO8" s="28" t="n"/>
      <c r="AP8" s="28" t="n"/>
      <c r="AQ8" s="28" t="n"/>
      <c r="AR8" s="28" t="n"/>
      <c r="AS8" s="28" t="n"/>
      <c r="AT8" s="28" t="n"/>
      <c r="AU8" s="28" t="n"/>
    </row>
    <row r="10">
      <c r="A10" s="30" t="inlineStr">
        <is>
          <t>Ataque</t>
        </is>
      </c>
      <c r="E10" s="30" t="inlineStr">
        <is>
          <t>Entropy</t>
        </is>
      </c>
      <c r="F10" s="30" t="inlineStr">
        <is>
          <t>Action</t>
        </is>
      </c>
      <c r="I10" s="30" t="inlineStr">
        <is>
          <t>Forma</t>
        </is>
      </c>
      <c r="L10" s="30" t="inlineStr">
        <is>
          <t>Range</t>
        </is>
      </c>
      <c r="M10" s="30" t="inlineStr">
        <is>
          <t>Type</t>
        </is>
      </c>
      <c r="P10" s="30" t="inlineStr">
        <is>
          <t>Damage</t>
        </is>
      </c>
      <c r="S10" s="30" t="inlineStr">
        <is>
          <t>Status</t>
        </is>
      </c>
      <c r="U10" s="40" t="inlineStr">
        <is>
          <t>Descripcion</t>
        </is>
      </c>
      <c r="AH10" s="30" t="inlineStr">
        <is>
          <t>Flavour</t>
        </is>
      </c>
    </row>
    <row r="11" ht="171.75" customHeight="1" s="77">
      <c r="A11" s="41" t="inlineStr">
        <is>
          <t>Traits</t>
        </is>
      </c>
      <c r="B11" s="78" t="n"/>
      <c r="C11" s="78" t="n"/>
      <c r="D11" s="78" t="n"/>
      <c r="E11" s="43" t="inlineStr">
        <is>
          <t>Remnant: alterna tactica e instinto. Trapper: castiga con terreno. Afflicter: estados acumulables. Defender: +CA. Merciful: no remata caidos. Hidden Behind Nat20 Martial / Last Stand. Gimmick raid: VIENE MURO cada 2r marca linea, choca roca = 20 dmg + Prone + Vulnerable.</t>
        </is>
      </c>
      <c r="F11" s="78" t="n"/>
      <c r="G11" s="78" t="n"/>
      <c r="H11" s="78" t="n"/>
      <c r="I11" s="78" t="n"/>
      <c r="J11" s="78" t="n"/>
      <c r="K11" s="78" t="n"/>
      <c r="L11" s="78" t="n"/>
      <c r="M11" s="78" t="n"/>
      <c r="N11" s="78" t="n"/>
      <c r="O11" s="78" t="n"/>
      <c r="P11" s="78" t="n"/>
      <c r="Q11" s="78" t="n"/>
      <c r="R11" s="78" t="n"/>
      <c r="S11" s="78" t="n"/>
      <c r="T11" s="78" t="n"/>
      <c r="U11" s="78" t="n"/>
      <c r="V11" s="78" t="n"/>
      <c r="W11" s="78" t="n"/>
      <c r="X11" s="78" t="n"/>
      <c r="Y11" s="78" t="n"/>
      <c r="Z11" s="78" t="n"/>
      <c r="AA11" s="78" t="n"/>
      <c r="AB11" s="78" t="n"/>
      <c r="AC11" s="78" t="n"/>
      <c r="AD11" s="78" t="n"/>
      <c r="AE11" s="78" t="n"/>
      <c r="AF11" s="78" t="n"/>
      <c r="AG11" s="78" t="n"/>
      <c r="AH11" s="78" t="n"/>
      <c r="AI11" s="78" t="n"/>
      <c r="AJ11" s="78" t="n"/>
      <c r="AK11" s="78" t="n"/>
      <c r="AL11" s="78" t="n"/>
      <c r="AM11" s="78" t="n"/>
      <c r="AN11" s="78" t="n"/>
      <c r="AO11" s="78" t="n"/>
      <c r="AP11" s="78" t="n"/>
      <c r="AQ11" s="78" t="n"/>
      <c r="AR11" s="78" t="n"/>
    </row>
    <row r="12" ht="137.25" customHeight="1" s="77">
      <c r="A12" s="36" t="inlineStr">
        <is>
          <t>Nucleo Tibio (Last Stand)</t>
        </is>
      </c>
      <c r="E12" s="36" t="inlineStr">
        <is>
          <t>—</t>
        </is>
      </c>
      <c r="F12" s="36" t="inlineStr">
        <is>
          <t>Pasiva</t>
        </is>
      </c>
      <c r="I12" s="36" t="inlineStr">
        <is>
          <t>Single</t>
        </is>
      </c>
      <c r="L12" s="36" t="n">
        <v>1</v>
      </c>
      <c r="M12" s="36" t="inlineStr">
        <is>
          <t>Other</t>
        </is>
      </c>
      <c r="P12" s="36" t="inlineStr">
        <is>
          <t>—</t>
        </is>
      </c>
      <c r="S12" s="36" t="inlineStr">
        <is>
          <t>Prone</t>
        </is>
      </c>
      <c r="U12" s="38" t="inlineStr">
        <is>
          <t>A 0 HP: cura 20 HP y queda Prone 1r. Sin inmunidades. Gate Nat20 Martial.</t>
        </is>
      </c>
      <c r="AH12" s="38" t="inlineStr">
        <is>
          <t>Legend</t>
        </is>
      </c>
    </row>
    <row r="13">
      <c r="A13" s="75" t="inlineStr">
        <is>
          <t>Saco Termico (Componente)</t>
        </is>
      </c>
      <c r="E13" s="75" t="inlineStr">
        <is>
          <t>—</t>
        </is>
      </c>
      <c r="F13" s="75" t="inlineStr">
        <is>
          <t>Pasiva</t>
        </is>
      </c>
      <c r="I13" s="75" t="inlineStr">
        <is>
          <t>Self</t>
        </is>
      </c>
      <c r="L13" s="75" t="inlineStr">
        <is>
          <t>Self</t>
        </is>
      </c>
      <c r="M13" s="75" t="inlineStr">
        <is>
          <t>Other</t>
        </is>
      </c>
      <c r="P13" t="inlineStr">
        <is>
          <t>—</t>
        </is>
      </c>
      <c r="S13" s="75" t="inlineStr">
        <is>
          <t>Prone</t>
        </is>
      </c>
      <c r="U13" s="76" t="inlineStr">
        <is>
          <t>Res Bludgeoning mientras lo tenga. Severing Atletismo/Arcana vs STR: 20 dmg + pierde res + Prone 1r.</t>
        </is>
      </c>
      <c r="AH13" s="76" t="inlineStr">
        <is>
          <t>Component</t>
        </is>
      </c>
    </row>
    <row r="14">
      <c r="A14" s="48" t="inlineStr">
        <is>
          <t>VIENE MURO (gimmick)</t>
        </is>
      </c>
      <c r="E14" s="46" t="inlineStr">
        <is>
          <t>—</t>
        </is>
      </c>
      <c r="F14" s="48" t="inlineStr">
        <is>
          <t>Pasiva</t>
        </is>
      </c>
      <c r="I14" s="48" t="inlineStr">
        <is>
          <t>Line</t>
        </is>
      </c>
      <c r="L14" s="48" t="inlineStr">
        <is>
          <t>12 (60ft) 10ft wide</t>
        </is>
      </c>
      <c r="M14" s="48" t="inlineStr">
        <is>
          <t>Other</t>
        </is>
      </c>
      <c r="P14" s="48" t="inlineStr">
        <is>
          <t>—</t>
        </is>
      </c>
      <c r="S14" s="48" t="inlineStr">
        <is>
          <t>Prone Bleed 3/2</t>
        </is>
      </c>
      <c r="U14" s="49" t="inlineStr">
        <is>
          <t>Cada 2r marca linea. Siguiente turno embiste. Linea vacia + roca: 20 dmg a si mismo + Prone + Vulnerable todo.</t>
        </is>
      </c>
      <c r="AH14" s="48" t="inlineStr">
        <is>
          <t>Telegraphed</t>
        </is>
      </c>
      <c r="AS14" s="28" t="n"/>
      <c r="AT14" s="28" t="n"/>
      <c r="AU14" s="28" t="n"/>
    </row>
    <row r="15">
      <c r="A15" s="75" t="inlineStr">
        <is>
          <t>Embiste Blindada</t>
        </is>
      </c>
      <c r="E15" s="75" t="inlineStr">
        <is>
          <t>—</t>
        </is>
      </c>
      <c r="F15" s="75" t="inlineStr">
        <is>
          <t>AP</t>
        </is>
      </c>
      <c r="I15" s="75" t="inlineStr">
        <is>
          <t>Line</t>
        </is>
      </c>
      <c r="L15" s="75" t="inlineStr">
        <is>
          <t>12 (60ft) 10ft wide</t>
        </is>
      </c>
      <c r="M15" s="75" t="inlineStr">
        <is>
          <t>Bludgeoning</t>
        </is>
      </c>
      <c r="P15" t="inlineStr">
        <is>
          <t>HIT +5
3d6+3</t>
        </is>
      </c>
      <c r="S15" s="75" t="inlineStr">
        <is>
          <t>Prone Bleed 3/2</t>
        </is>
      </c>
      <c r="U15" s="76" t="inlineStr">
        <is>
          <t>Solo tras marcar. Danio + empuja 10ft + DC13 STR o Prone + Bleed 3/2.</t>
        </is>
      </c>
      <c r="AH15" s="76" t="inlineStr">
        <is>
          <t>Melee Attack</t>
        </is>
      </c>
    </row>
    <row r="16">
      <c r="A16" s="36" t="inlineStr">
        <is>
          <t>Mordisco</t>
        </is>
      </c>
      <c r="E16" s="36" t="inlineStr">
        <is>
          <t>0</t>
        </is>
      </c>
      <c r="F16" s="36" t="inlineStr">
        <is>
          <t>AP</t>
        </is>
      </c>
      <c r="I16" s="36" t="inlineStr">
        <is>
          <t>Single</t>
        </is>
      </c>
      <c r="L16" s="36" t="n">
        <v>1</v>
      </c>
      <c r="M16" s="36" t="inlineStr">
        <is>
          <t>Piercing</t>
        </is>
      </c>
      <c r="P16" s="36" t="inlineStr">
        <is>
          <t>HIT +5
1d8+3</t>
        </is>
      </c>
      <c r="S16" s="36" t="inlineStr">
        <is>
          <t>Bleed 2/2</t>
        </is>
      </c>
      <c r="U16" s="38" t="inlineStr">
        <is>
          <t>Basico. Bleed Limbus.</t>
        </is>
      </c>
      <c r="AH16" s="38" t="inlineStr">
        <is>
          <t>Melee Attack</t>
        </is>
      </c>
    </row>
    <row r="17">
      <c r="A17" s="75" t="inlineStr">
        <is>
          <t>Flash Freeze Mini</t>
        </is>
      </c>
      <c r="E17" s="75" t="inlineStr">
        <is>
          <t>—</t>
        </is>
      </c>
      <c r="F17" s="75" t="inlineStr">
        <is>
          <t>AP</t>
        </is>
      </c>
      <c r="I17" s="75" t="inlineStr">
        <is>
          <t>Single</t>
        </is>
      </c>
      <c r="L17" s="75" t="n">
        <v>1</v>
      </c>
      <c r="M17" s="75" t="inlineStr">
        <is>
          <t>Cold</t>
        </is>
      </c>
      <c r="P17" t="inlineStr">
        <is>
          <t>DC13 CON
2d4+4</t>
        </is>
      </c>
      <c r="S17" s="75" t="inlineStr">
        <is>
          <t>Vulnerable</t>
        </is>
      </c>
      <c r="U17" s="76" t="inlineStr">
        <is>
          <t>Vulnerable a Bludgeoning + speed -10ft. Exito mitad sin vulnerable. Combo: siguiente Embiste +1d6.</t>
        </is>
      </c>
      <c r="AH17" s="76" t="inlineStr">
        <is>
          <t>Setup</t>
        </is>
      </c>
    </row>
    <row r="18">
      <c r="A18" s="50" t="inlineStr">
        <is>
          <t>Condensacion Resbalosa</t>
        </is>
      </c>
      <c r="E18" s="51" t="inlineStr">
        <is>
          <t>—</t>
        </is>
      </c>
      <c r="F18" s="48" t="inlineStr">
        <is>
          <t>AS</t>
        </is>
      </c>
      <c r="I18" s="48" t="inlineStr">
        <is>
          <t>Self</t>
        </is>
      </c>
      <c r="L18" s="48" t="inlineStr">
        <is>
          <t>Self</t>
        </is>
      </c>
      <c r="M18" s="48" t="inlineStr">
        <is>
          <t>Other</t>
        </is>
      </c>
      <c r="P18" s="48" t="inlineStr">
        <is>
          <t>—</t>
        </is>
      </c>
      <c r="S18" s="48" t="inlineStr">
        <is>
          <t>Terreno dificil</t>
        </is>
      </c>
      <c r="U18" s="49" t="inlineStr">
        <is>
          <t>Mueve 15ft sin AdO + hielo DC12 DEX o Prone.</t>
        </is>
      </c>
      <c r="AH18" s="48" t="inlineStr">
        <is>
          <t>Reposition</t>
        </is>
      </c>
      <c r="AS18" s="28" t="n"/>
      <c r="AT18" s="28" t="n"/>
      <c r="AU18" s="28" t="n"/>
    </row>
    <row r="19">
      <c r="A19" s="54" t="inlineStr">
        <is>
          <t>Endurecer</t>
        </is>
      </c>
      <c r="B19" s="81" t="n"/>
      <c r="C19" s="81" t="n"/>
      <c r="D19" s="81" t="n"/>
      <c r="E19" s="54" t="inlineStr">
        <is>
          <t>—</t>
        </is>
      </c>
      <c r="F19" s="54" t="inlineStr">
        <is>
          <t>Reacc</t>
        </is>
      </c>
      <c r="G19" s="81" t="n"/>
      <c r="H19" s="81" t="n"/>
      <c r="I19" s="54" t="inlineStr">
        <is>
          <t>Self</t>
        </is>
      </c>
      <c r="J19" s="81" t="n"/>
      <c r="K19" s="81" t="n"/>
      <c r="L19" s="54" t="inlineStr">
        <is>
          <t>Self</t>
        </is>
      </c>
      <c r="M19" s="54" t="inlineStr">
        <is>
          <t>Other</t>
        </is>
      </c>
      <c r="N19" s="81" t="n"/>
      <c r="O19" s="81" t="n"/>
      <c r="P19" s="54" t="inlineStr">
        <is>
          <t>+2 AC</t>
        </is>
      </c>
      <c r="Q19" s="81" t="n"/>
      <c r="R19" s="81" t="n"/>
      <c r="S19" s="54" t="inlineStr">
        <is>
          <t>—</t>
        </is>
      </c>
      <c r="T19" s="81" t="n"/>
      <c r="U19" s="56" t="inlineStr">
        <is>
          <t>+2 AC vs un ataque. 2 cargas.</t>
        </is>
      </c>
      <c r="V19" s="81" t="n"/>
      <c r="W19" s="81" t="n"/>
      <c r="X19" s="81" t="n"/>
      <c r="Y19" s="81" t="n"/>
      <c r="Z19" s="81" t="n"/>
      <c r="AA19" s="81" t="n"/>
      <c r="AB19" s="81" t="n"/>
      <c r="AC19" s="81" t="n"/>
      <c r="AD19" s="81" t="n"/>
      <c r="AE19" s="81" t="n"/>
      <c r="AF19" s="81" t="n"/>
      <c r="AG19" s="81" t="n"/>
      <c r="AH19" s="56" t="inlineStr">
        <is>
          <t>Defensive</t>
        </is>
      </c>
      <c r="AI19" s="81" t="n"/>
      <c r="AJ19" s="81" t="n"/>
      <c r="AK19" s="81" t="n"/>
      <c r="AL19" s="81" t="n"/>
      <c r="AM19" s="81" t="n"/>
      <c r="AN19" s="81" t="n"/>
      <c r="AO19" s="81" t="n"/>
      <c r="AP19" s="81" t="n"/>
      <c r="AQ19" s="81" t="n"/>
      <c r="AR19" s="81" t="n"/>
      <c r="AS19" s="57" t="n"/>
      <c r="AT19" s="57" t="n"/>
      <c r="AU19" s="57" t="n"/>
    </row>
    <row r="20">
      <c r="A20" s="36" t="inlineStr">
        <is>
          <t>Furia (Enrage &lt;30HP)</t>
        </is>
      </c>
      <c r="E20" s="58" t="inlineStr">
        <is>
          <t>—</t>
        </is>
      </c>
      <c r="F20" s="36" t="inlineStr">
        <is>
          <t>Pasiva</t>
        </is>
      </c>
      <c r="I20" s="36" t="inlineStr">
        <is>
          <t>Self</t>
        </is>
      </c>
      <c r="L20" s="36" t="inlineStr">
        <is>
          <t>Self</t>
        </is>
      </c>
      <c r="M20" s="36" t="inlineStr">
        <is>
          <t>Other</t>
        </is>
      </c>
      <c r="P20" t="inlineStr">
        <is>
          <t>—</t>
        </is>
      </c>
      <c r="S20" s="36" t="inlineStr">
        <is>
          <t>—</t>
        </is>
      </c>
      <c r="U20" s="38" t="inlineStr">
        <is>
          <t>+1 ataque/turno, ya no frena ante rocas.</t>
        </is>
      </c>
      <c r="AH20" s="38" t="inlineStr">
        <is>
          <t>Enrage</t>
        </is>
      </c>
    </row>
    <row r="21">
      <c r="A21" s="54" t="n"/>
      <c r="B21" s="81" t="n"/>
      <c r="C21" s="81" t="n"/>
      <c r="D21" s="81" t="n"/>
      <c r="E21" s="54" t="n"/>
      <c r="F21" s="54" t="n"/>
      <c r="G21" s="81" t="n"/>
      <c r="H21" s="81" t="n"/>
      <c r="I21" s="54" t="n"/>
      <c r="J21" s="81" t="n"/>
      <c r="K21" s="81" t="n"/>
      <c r="L21" s="54" t="n"/>
      <c r="M21" s="54" t="n"/>
      <c r="N21" s="81" t="n"/>
      <c r="O21" s="81" t="n"/>
      <c r="P21" s="54" t="n"/>
      <c r="Q21" s="81" t="n"/>
      <c r="R21" s="81" t="n"/>
      <c r="S21" s="54" t="n"/>
      <c r="T21" s="81" t="n"/>
      <c r="U21" s="56" t="n"/>
      <c r="V21" s="81" t="n"/>
      <c r="W21" s="81" t="n"/>
      <c r="X21" s="81" t="n"/>
      <c r="Y21" s="81" t="n"/>
      <c r="Z21" s="81" t="n"/>
      <c r="AA21" s="81" t="n"/>
      <c r="AB21" s="81" t="n"/>
      <c r="AC21" s="81" t="n"/>
      <c r="AD21" s="81" t="n"/>
      <c r="AE21" s="81" t="n"/>
      <c r="AF21" s="81" t="n"/>
      <c r="AG21" s="81" t="n"/>
      <c r="AH21" s="56" t="n"/>
      <c r="AI21" s="81" t="n"/>
      <c r="AJ21" s="81" t="n"/>
      <c r="AK21" s="81" t="n"/>
      <c r="AL21" s="81" t="n"/>
      <c r="AM21" s="81" t="n"/>
      <c r="AN21" s="81" t="n"/>
      <c r="AO21" s="81" t="n"/>
      <c r="AP21" s="81" t="n"/>
      <c r="AQ21" s="81" t="n"/>
      <c r="AR21" s="81" t="n"/>
      <c r="AS21" s="57" t="n"/>
      <c r="AT21" s="57" t="n"/>
      <c r="AU21" s="57" t="n"/>
    </row>
    <row r="22">
      <c r="A22" s="36" t="n"/>
      <c r="E22" s="36" t="n"/>
      <c r="F22" s="36" t="n"/>
      <c r="I22" s="36" t="n"/>
      <c r="L22" s="36" t="n"/>
      <c r="M22" s="36" t="n"/>
      <c r="P22" s="36" t="n"/>
      <c r="S22" s="36" t="n"/>
      <c r="U22" s="38" t="n"/>
      <c r="AH22" s="38" t="n"/>
    </row>
    <row r="23">
      <c r="A23" s="63" t="n"/>
      <c r="B23" s="81" t="n"/>
      <c r="C23" s="81" t="n"/>
      <c r="D23" s="81" t="n"/>
      <c r="E23" s="60" t="n"/>
      <c r="F23" s="63" t="n"/>
      <c r="G23" s="81" t="n"/>
      <c r="H23" s="81" t="n"/>
      <c r="I23" s="63" t="n"/>
      <c r="J23" s="81" t="n"/>
      <c r="K23" s="81" t="n"/>
      <c r="L23" s="63" t="n"/>
      <c r="M23" s="63" t="n"/>
      <c r="N23" s="81" t="n"/>
      <c r="O23" s="81" t="n"/>
      <c r="P23" s="63" t="n"/>
      <c r="Q23" s="81" t="n"/>
      <c r="R23" s="81" t="n"/>
      <c r="S23" s="63" t="n"/>
      <c r="T23" s="81" t="n"/>
      <c r="U23" s="62" t="n"/>
      <c r="V23" s="81" t="n"/>
      <c r="W23" s="81" t="n"/>
      <c r="X23" s="81" t="n"/>
      <c r="Y23" s="81" t="n"/>
      <c r="Z23" s="81" t="n"/>
      <c r="AA23" s="81" t="n"/>
      <c r="AB23" s="81" t="n"/>
      <c r="AC23" s="81" t="n"/>
      <c r="AD23" s="81" t="n"/>
      <c r="AE23" s="81" t="n"/>
      <c r="AF23" s="81" t="n"/>
      <c r="AG23" s="81" t="n"/>
      <c r="AH23" s="63" t="n"/>
      <c r="AI23" s="81" t="n"/>
      <c r="AJ23" s="81" t="n"/>
      <c r="AK23" s="81" t="n"/>
      <c r="AL23" s="81" t="n"/>
      <c r="AM23" s="81" t="n"/>
      <c r="AN23" s="81" t="n"/>
      <c r="AO23" s="81" t="n"/>
      <c r="AP23" s="81" t="n"/>
      <c r="AQ23" s="81" t="n"/>
      <c r="AR23" s="81" t="n"/>
      <c r="AS23" s="64" t="n"/>
      <c r="AT23" s="64" t="n"/>
      <c r="AU23" s="64" t="n"/>
    </row>
    <row r="24">
      <c r="A24" s="36" t="n"/>
      <c r="E24" s="36" t="n"/>
      <c r="F24" s="36" t="n"/>
      <c r="I24" s="36" t="n"/>
      <c r="L24" s="36" t="n"/>
      <c r="M24" s="36" t="n"/>
      <c r="P24" s="36" t="n"/>
      <c r="S24" s="36" t="n"/>
      <c r="U24" s="38" t="n"/>
      <c r="AH24" s="38" t="n"/>
    </row>
    <row r="25">
      <c r="A25" s="75" t="n"/>
      <c r="E25" s="75" t="n"/>
      <c r="F25" s="75" t="n"/>
      <c r="I25" s="75" t="n"/>
      <c r="L25" s="65" t="n"/>
      <c r="M25" s="75" t="n"/>
      <c r="P25" s="75" t="n"/>
      <c r="S25" s="75" t="n"/>
      <c r="U25" s="76" t="n"/>
      <c r="AH25" s="76" t="n"/>
    </row>
    <row r="26">
      <c r="A26" s="36" t="n"/>
      <c r="E26" s="36" t="n"/>
      <c r="F26" s="36" t="n"/>
      <c r="I26" s="36" t="n"/>
      <c r="L26" s="36" t="n"/>
      <c r="M26" s="36" t="n"/>
      <c r="P26" s="36" t="n"/>
      <c r="S26" s="36" t="n"/>
      <c r="U26" s="38" t="n"/>
      <c r="AH26" s="38" t="n"/>
    </row>
    <row r="27">
      <c r="A27" s="66" t="n"/>
      <c r="B27" s="82" t="n"/>
      <c r="C27" s="82" t="n"/>
      <c r="D27" s="82" t="n"/>
      <c r="E27" s="66" t="n"/>
      <c r="F27" s="66" t="n"/>
      <c r="G27" s="82" t="n"/>
      <c r="H27" s="82" t="n"/>
      <c r="I27" s="66" t="n"/>
      <c r="J27" s="82" t="n"/>
      <c r="K27" s="82" t="n"/>
      <c r="L27" s="66" t="n"/>
      <c r="M27" s="66" t="n"/>
      <c r="N27" s="82" t="n"/>
      <c r="O27" s="82" t="n"/>
      <c r="P27" s="66" t="n"/>
      <c r="Q27" s="82" t="n"/>
      <c r="R27" s="82" t="n"/>
      <c r="S27" s="66" t="n"/>
      <c r="T27" s="82" t="n"/>
      <c r="U27" s="69" t="n"/>
      <c r="V27" s="82" t="n"/>
      <c r="W27" s="82" t="n"/>
      <c r="X27" s="82" t="n"/>
      <c r="Y27" s="82" t="n"/>
      <c r="Z27" s="82" t="n"/>
      <c r="AA27" s="82" t="n"/>
      <c r="AB27" s="82" t="n"/>
      <c r="AC27" s="82" t="n"/>
      <c r="AD27" s="82" t="n"/>
      <c r="AE27" s="82" t="n"/>
      <c r="AF27" s="82" t="n"/>
      <c r="AG27" s="82" t="n"/>
      <c r="AH27" s="69" t="n"/>
      <c r="AI27" s="82" t="n"/>
      <c r="AJ27" s="82" t="n"/>
      <c r="AK27" s="82" t="n"/>
      <c r="AL27" s="82" t="n"/>
      <c r="AM27" s="82" t="n"/>
      <c r="AN27" s="82" t="n"/>
      <c r="AO27" s="82" t="n"/>
      <c r="AP27" s="82" t="n"/>
      <c r="AQ27" s="82" t="n"/>
      <c r="AR27" s="82" t="n"/>
      <c r="AS27" s="70" t="n"/>
      <c r="AT27" s="70" t="n"/>
      <c r="AU27" s="70" t="n"/>
    </row>
    <row r="28">
      <c r="A28" s="36" t="n"/>
      <c r="E28" s="36" t="n"/>
      <c r="F28" s="36" t="n"/>
      <c r="I28" s="36" t="n"/>
      <c r="L28" s="36" t="n"/>
      <c r="M28" s="36" t="n"/>
      <c r="P28" s="36" t="n"/>
      <c r="S28" s="36" t="n"/>
      <c r="U28" s="38" t="n"/>
      <c r="AH28" s="38" t="n"/>
    </row>
    <row r="29">
      <c r="A29" s="75" t="n"/>
      <c r="E29" s="75" t="n"/>
      <c r="F29" s="75" t="n"/>
      <c r="I29" s="75" t="n"/>
      <c r="L29" s="75" t="n"/>
      <c r="M29" s="75" t="n"/>
      <c r="P29" s="75" t="n"/>
      <c r="S29" s="75" t="n"/>
      <c r="U29" s="76" t="n"/>
      <c r="AH29" s="76" t="n"/>
    </row>
    <row r="30">
      <c r="A30" s="36" t="n"/>
      <c r="E30" s="36" t="n"/>
      <c r="F30" s="36" t="n"/>
      <c r="I30" s="36" t="n"/>
      <c r="L30" s="71" t="n"/>
      <c r="M30" s="36" t="n"/>
      <c r="P30" s="36" t="n"/>
      <c r="S30" s="38" t="n"/>
      <c r="U30" s="38" t="n"/>
      <c r="AH30" s="38" t="n"/>
    </row>
    <row r="31">
      <c r="A31" s="75" t="n"/>
      <c r="E31" s="75" t="n"/>
      <c r="F31" s="75" t="n"/>
      <c r="I31" s="75" t="n"/>
      <c r="L31" s="75" t="n"/>
      <c r="M31" s="75" t="n"/>
      <c r="P31" s="75" t="n"/>
      <c r="S31" s="76" t="n"/>
      <c r="U31" s="76" t="n"/>
      <c r="AH31" s="76" t="n"/>
    </row>
    <row r="32" ht="38.25" customHeight="1" s="77">
      <c r="A32" s="36" t="n"/>
      <c r="E32" s="36" t="n"/>
      <c r="F32" s="36" t="n"/>
      <c r="I32" s="36" t="n"/>
      <c r="L32" s="36" t="n"/>
      <c r="M32" s="36" t="n"/>
      <c r="P32" s="36" t="n"/>
      <c r="S32" s="36" t="n"/>
      <c r="U32" s="38" t="n"/>
      <c r="AH32" s="38" t="n"/>
    </row>
    <row r="33">
      <c r="A33" s="75" t="n"/>
      <c r="E33" s="75" t="n"/>
      <c r="F33" s="75" t="n"/>
      <c r="I33" s="75" t="n"/>
      <c r="L33" s="75" t="n"/>
      <c r="M33" s="75" t="n"/>
      <c r="P33" s="75" t="n"/>
      <c r="S33" s="75" t="n"/>
      <c r="U33" s="76" t="n"/>
      <c r="AH33" s="76" t="n"/>
    </row>
    <row r="34">
      <c r="A34" s="48" t="n"/>
      <c r="E34" s="46" t="n"/>
      <c r="F34" s="48" t="n"/>
      <c r="I34" s="48" t="n"/>
      <c r="L34" s="48" t="n"/>
      <c r="M34" s="48" t="n"/>
      <c r="P34" s="48" t="n"/>
      <c r="S34" s="48" t="n"/>
      <c r="U34" s="49" t="n"/>
      <c r="AH34" s="49" t="n"/>
      <c r="AS34" s="28" t="n"/>
      <c r="AT34" s="28" t="n"/>
      <c r="AU34" s="28" t="n"/>
    </row>
    <row r="35">
      <c r="A35" s="41" t="inlineStr">
        <is>
          <t>Sin spells. Es bicho.</t>
        </is>
      </c>
      <c r="B35" s="78" t="n"/>
      <c r="C35" s="78" t="n"/>
      <c r="D35" s="78" t="n"/>
      <c r="E35" s="43" t="inlineStr">
        <is>
          <t>Lvl 1 Bane: DC 17 CHA (3 obj, 30ft). Restan -1d4 a todos sus ataques y salvaciones. 
Lvl 1 Silvery Barbs: React (60ft). Cancela el éxito de un enemigo obligando a usar el dado bajo. 
Lvl 3 Slow: DC 17 WIS (Cubo 40ft). Mitad Vel., -2 CA, sin Reacciones, 1 solo ataque, eligen entre Acción o Bonus (no ambas). 
Lvl 3 Fear: DC 17 WIS (Cono 30ft). Sueltan armas, Desventaja en todo y huyen corriendo obligatoriamente. 
Lvl 3 Counterspell
Lvl 3 Hypnotic Pattern: DC 17 WIS (Cubo 30ft). Charm: Incapacitados (Vel. 0) hasta recibir daño o que alguien gaste su acción en despertarlos. 
Lvl 4 Confusion: DC 17 WIS (Radio 10ft). Tiran 1d10 y actúan al azar (caminar sin rumbo, no hacer nada, pegar al aliado, etc). 
Lvl 5 Synaptic Static: DC 17 INT (Radio 20ft). Daño psíquico y restan -1d6 a todos sus ataques y habilidades por 1 minuto. 
Lvl 5 Wall of Force: Sin tirada. Muro o cúpula física indestructible. Divide y aísla a los jugadores.</t>
        </is>
      </c>
      <c r="F35" s="78" t="n"/>
      <c r="G35" s="78" t="n"/>
      <c r="H35" s="78" t="n"/>
      <c r="I35" s="78" t="n"/>
      <c r="J35" s="78" t="n"/>
      <c r="K35" s="78" t="n"/>
      <c r="L35" s="78" t="n"/>
      <c r="M35" s="78" t="n"/>
      <c r="N35" s="78" t="n"/>
      <c r="O35" s="78" t="n"/>
      <c r="P35" s="78" t="n"/>
      <c r="Q35" s="78" t="n"/>
      <c r="R35" s="78" t="n"/>
      <c r="S35" s="78" t="n"/>
      <c r="T35" s="78" t="n"/>
      <c r="U35" s="78" t="n"/>
      <c r="V35" s="78" t="n"/>
      <c r="W35" s="78" t="n"/>
      <c r="X35" s="78" t="n"/>
      <c r="Y35" s="78" t="n"/>
      <c r="Z35" s="78" t="n"/>
      <c r="AA35" s="78" t="n"/>
      <c r="AB35" s="78" t="n"/>
      <c r="AC35" s="78" t="n"/>
      <c r="AD35" s="78" t="n"/>
      <c r="AE35" s="78" t="n"/>
      <c r="AF35" s="78" t="n"/>
      <c r="AG35" s="78" t="n"/>
      <c r="AH35" s="78" t="n"/>
      <c r="AI35" s="78" t="n"/>
      <c r="AJ35" s="78" t="n"/>
      <c r="AK35" s="78" t="n"/>
      <c r="AL35" s="78" t="n"/>
      <c r="AM35" s="78" t="n"/>
      <c r="AN35" s="78" t="n"/>
      <c r="AO35" s="78" t="n"/>
      <c r="AP35" s="78" t="n"/>
      <c r="AQ35" s="78" t="n"/>
      <c r="AR35" s="78" t="n"/>
    </row>
    <row r="36">
      <c r="A36" s="72" t="n"/>
      <c r="B36" s="82" t="n"/>
      <c r="C36" s="82" t="n"/>
      <c r="D36" s="82" t="n"/>
      <c r="E36" s="72" t="n"/>
      <c r="F36" s="72" t="n"/>
      <c r="G36" s="82" t="n"/>
      <c r="H36" s="82" t="n"/>
      <c r="I36" s="72" t="n"/>
      <c r="J36" s="82" t="n"/>
      <c r="K36" s="82" t="n"/>
      <c r="L36" s="72" t="n"/>
      <c r="M36" s="72" t="n"/>
      <c r="N36" s="82" t="n"/>
      <c r="O36" s="82" t="n"/>
      <c r="P36" s="72" t="n"/>
      <c r="Q36" s="82" t="n"/>
      <c r="R36" s="82" t="n"/>
      <c r="S36" s="72" t="n"/>
      <c r="T36" s="82" t="n"/>
      <c r="U36" s="74" t="n"/>
      <c r="V36" s="82" t="n"/>
      <c r="W36" s="82" t="n"/>
      <c r="X36" s="82" t="n"/>
      <c r="Y36" s="82" t="n"/>
      <c r="Z36" s="82" t="n"/>
      <c r="AA36" s="82" t="n"/>
      <c r="AB36" s="82" t="n"/>
      <c r="AC36" s="82" t="n"/>
      <c r="AD36" s="82" t="n"/>
      <c r="AE36" s="82" t="n"/>
      <c r="AF36" s="82" t="n"/>
      <c r="AG36" s="82" t="n"/>
      <c r="AH36" s="74" t="n"/>
      <c r="AI36" s="82" t="n"/>
      <c r="AJ36" s="82" t="n"/>
      <c r="AK36" s="82" t="n"/>
      <c r="AL36" s="82" t="n"/>
      <c r="AM36" s="82" t="n"/>
      <c r="AN36" s="82" t="n"/>
      <c r="AO36" s="82" t="n"/>
      <c r="AP36" s="82" t="n"/>
      <c r="AQ36" s="82" t="n"/>
      <c r="AR36" s="82" t="n"/>
      <c r="AS36" s="70" t="n"/>
      <c r="AT36" s="70" t="n"/>
      <c r="AU36" s="70" t="n"/>
    </row>
    <row r="37">
      <c r="A37" s="75" t="inlineStr">
        <is>
          <t>Loot cocina: carne tierna ventaja Preparar, saco bomba 2d6 1 uso.</t>
        </is>
      </c>
      <c r="B37" s="75" t="n"/>
      <c r="C37" s="75" t="n"/>
      <c r="D37" s="75" t="n"/>
      <c r="E37" s="75" t="n"/>
      <c r="F37" s="75" t="n"/>
      <c r="G37" s="75" t="n"/>
      <c r="H37" s="75" t="n"/>
      <c r="I37" s="75" t="n"/>
      <c r="J37" s="75" t="n"/>
      <c r="K37" s="75" t="n"/>
      <c r="L37" s="75" t="n"/>
      <c r="M37" s="75" t="n"/>
      <c r="N37" s="75" t="n"/>
      <c r="O37" s="75" t="n"/>
      <c r="P37" s="75" t="n"/>
      <c r="Q37" s="75" t="n"/>
      <c r="R37" s="75" t="n"/>
      <c r="S37" s="75" t="n"/>
      <c r="T37" s="75" t="n"/>
      <c r="U37" s="76"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c r="AO37" s="76" t="n"/>
      <c r="AP37" s="76" t="n"/>
      <c r="AQ37" s="76" t="n"/>
      <c r="AR37" s="76" t="n"/>
    </row>
  </sheetData>
  <mergeCells count="213">
    <mergeCell ref="I32:K32"/>
    <mergeCell ref="F36:H36"/>
    <mergeCell ref="F18:H18"/>
    <mergeCell ref="F33:H33"/>
    <mergeCell ref="S21:T21"/>
    <mergeCell ref="P27:R27"/>
    <mergeCell ref="P36:R36"/>
    <mergeCell ref="A20:D20"/>
    <mergeCell ref="A29:D29"/>
    <mergeCell ref="F17:H17"/>
    <mergeCell ref="P17:R17"/>
    <mergeCell ref="T6:AC6"/>
    <mergeCell ref="M12:O12"/>
    <mergeCell ref="U29:AG29"/>
    <mergeCell ref="A13:D13"/>
    <mergeCell ref="M21:O21"/>
    <mergeCell ref="Q6:S6"/>
    <mergeCell ref="I24:K24"/>
    <mergeCell ref="A31:D31"/>
    <mergeCell ref="F22:H22"/>
    <mergeCell ref="P19:R19"/>
    <mergeCell ref="F31:H31"/>
    <mergeCell ref="P28:R28"/>
    <mergeCell ref="U31:AG31"/>
    <mergeCell ref="A15:D15"/>
    <mergeCell ref="AH20:AR20"/>
    <mergeCell ref="I17:K17"/>
    <mergeCell ref="A24:D24"/>
    <mergeCell ref="P12:R12"/>
    <mergeCell ref="M24:O24"/>
    <mergeCell ref="P30:R30"/>
    <mergeCell ref="I10:K10"/>
    <mergeCell ref="S10:T10"/>
    <mergeCell ref="F14:H14"/>
    <mergeCell ref="S19:T19"/>
    <mergeCell ref="P14:R14"/>
    <mergeCell ref="I34:K34"/>
    <mergeCell ref="A16:D16"/>
    <mergeCell ref="U16:AG16"/>
    <mergeCell ref="S30:T30"/>
    <mergeCell ref="AH30:AR30"/>
    <mergeCell ref="U25:AG25"/>
    <mergeCell ref="A27:D27"/>
    <mergeCell ref="E35:AR35"/>
    <mergeCell ref="I36:K36"/>
    <mergeCell ref="S20:T20"/>
    <mergeCell ref="AH32:AR32"/>
    <mergeCell ref="F12:H12"/>
    <mergeCell ref="A33:D33"/>
    <mergeCell ref="F21:H21"/>
    <mergeCell ref="M20:O20"/>
    <mergeCell ref="S22:T22"/>
    <mergeCell ref="U28:AG28"/>
    <mergeCell ref="A17:D17"/>
    <mergeCell ref="Q5:S5"/>
    <mergeCell ref="A22:D22"/>
    <mergeCell ref="I22:K22"/>
    <mergeCell ref="I28:K28"/>
    <mergeCell ref="A35:D35"/>
    <mergeCell ref="S12:T12"/>
    <mergeCell ref="M22:O22"/>
    <mergeCell ref="M31:O31"/>
    <mergeCell ref="E11:AR11"/>
    <mergeCell ref="I12:K12"/>
    <mergeCell ref="A19:D19"/>
    <mergeCell ref="AH24:AR24"/>
    <mergeCell ref="I21:K21"/>
    <mergeCell ref="AH18:AR18"/>
    <mergeCell ref="AH33:AR33"/>
    <mergeCell ref="A28:D28"/>
    <mergeCell ref="M15:O15"/>
    <mergeCell ref="U20:AG20"/>
    <mergeCell ref="M28:O28"/>
    <mergeCell ref="P16:R16"/>
    <mergeCell ref="U14:AG14"/>
    <mergeCell ref="U23:AG23"/>
    <mergeCell ref="AH17:AR17"/>
    <mergeCell ref="I14:K14"/>
    <mergeCell ref="F27:H27"/>
    <mergeCell ref="I23:K23"/>
    <mergeCell ref="A30:D30"/>
    <mergeCell ref="F4:L4"/>
    <mergeCell ref="S23:T23"/>
    <mergeCell ref="P18:R18"/>
    <mergeCell ref="U22:AG22"/>
    <mergeCell ref="M26:O26"/>
    <mergeCell ref="AH10:AR10"/>
    <mergeCell ref="A11:D11"/>
    <mergeCell ref="S13:T13"/>
    <mergeCell ref="AH19:AR19"/>
    <mergeCell ref="M14:O14"/>
    <mergeCell ref="T5:AC5"/>
    <mergeCell ref="M29:O29"/>
    <mergeCell ref="U15:AG15"/>
    <mergeCell ref="M23:O23"/>
    <mergeCell ref="S15:T15"/>
    <mergeCell ref="S24:T24"/>
    <mergeCell ref="S33:T33"/>
    <mergeCell ref="Q7:S7"/>
    <mergeCell ref="F29:H29"/>
    <mergeCell ref="AH36:AR36"/>
    <mergeCell ref="P20:R20"/>
    <mergeCell ref="F25:H25"/>
    <mergeCell ref="P29:R29"/>
    <mergeCell ref="U32:AG32"/>
    <mergeCell ref="I27:K27"/>
    <mergeCell ref="A26:D26"/>
    <mergeCell ref="P22:R22"/>
    <mergeCell ref="P31:R31"/>
    <mergeCell ref="Q1:AC1"/>
    <mergeCell ref="F15:H15"/>
    <mergeCell ref="AH28:AR28"/>
    <mergeCell ref="F24:H24"/>
    <mergeCell ref="I25:K25"/>
    <mergeCell ref="P21:R21"/>
    <mergeCell ref="U24:AG24"/>
    <mergeCell ref="AH13:AR13"/>
    <mergeCell ref="U18:AG18"/>
    <mergeCell ref="U33:AG33"/>
    <mergeCell ref="AH21:AR21"/>
    <mergeCell ref="F32:H32"/>
    <mergeCell ref="T7:AC7"/>
    <mergeCell ref="F26:H26"/>
    <mergeCell ref="P23:R23"/>
    <mergeCell ref="M25:O25"/>
    <mergeCell ref="A10:D10"/>
    <mergeCell ref="M30:O30"/>
    <mergeCell ref="AH23:AR23"/>
    <mergeCell ref="F23:H23"/>
    <mergeCell ref="U10:AG10"/>
    <mergeCell ref="M33:O33"/>
    <mergeCell ref="U19:AG19"/>
    <mergeCell ref="F13:H13"/>
    <mergeCell ref="A34:D34"/>
    <mergeCell ref="M17:O17"/>
    <mergeCell ref="S14:T14"/>
    <mergeCell ref="S28:T28"/>
    <mergeCell ref="I20:K20"/>
    <mergeCell ref="I29:K29"/>
    <mergeCell ref="A36:D36"/>
    <mergeCell ref="M32:O32"/>
    <mergeCell ref="M19:O19"/>
    <mergeCell ref="P33:R33"/>
    <mergeCell ref="I13:K13"/>
    <mergeCell ref="AH34:AR34"/>
    <mergeCell ref="I31:K31"/>
    <mergeCell ref="I15:K15"/>
    <mergeCell ref="AH27:AR27"/>
    <mergeCell ref="F34:H34"/>
    <mergeCell ref="F16:H16"/>
    <mergeCell ref="P25:R25"/>
    <mergeCell ref="A12:D12"/>
    <mergeCell ref="A21:D21"/>
    <mergeCell ref="U13:AG13"/>
    <mergeCell ref="I26:K26"/>
    <mergeCell ref="S32:T32"/>
    <mergeCell ref="F30:H30"/>
    <mergeCell ref="S26:T26"/>
    <mergeCell ref="U21:AG21"/>
    <mergeCell ref="A32:D32"/>
    <mergeCell ref="A14:D14"/>
    <mergeCell ref="F20:H20"/>
    <mergeCell ref="I16:K16"/>
    <mergeCell ref="AH22:AR22"/>
    <mergeCell ref="A23:D23"/>
    <mergeCell ref="S16:T16"/>
    <mergeCell ref="M10:O10"/>
    <mergeCell ref="S25:T25"/>
    <mergeCell ref="AH25:AR25"/>
    <mergeCell ref="AH12:AR12"/>
    <mergeCell ref="M13:O13"/>
    <mergeCell ref="I18:K18"/>
    <mergeCell ref="M16:O16"/>
    <mergeCell ref="S18:T18"/>
    <mergeCell ref="S27:T27"/>
    <mergeCell ref="I33:K33"/>
    <mergeCell ref="AH14:AR14"/>
    <mergeCell ref="S17:T17"/>
    <mergeCell ref="M27:O27"/>
    <mergeCell ref="F28:H28"/>
    <mergeCell ref="P32:R32"/>
    <mergeCell ref="U26:AG26"/>
    <mergeCell ref="M36:O36"/>
    <mergeCell ref="M18:O18"/>
    <mergeCell ref="AH29:AR29"/>
    <mergeCell ref="P13:R13"/>
    <mergeCell ref="U34:AG34"/>
    <mergeCell ref="I19:K19"/>
    <mergeCell ref="AH31:AR31"/>
    <mergeCell ref="P15:R15"/>
    <mergeCell ref="S34:T34"/>
    <mergeCell ref="P24:R24"/>
    <mergeCell ref="U27:AG27"/>
    <mergeCell ref="AH15:AR15"/>
    <mergeCell ref="U36:AG36"/>
    <mergeCell ref="U30:AG30"/>
    <mergeCell ref="A25:D25"/>
    <mergeCell ref="U17:AG17"/>
    <mergeCell ref="M34:O34"/>
    <mergeCell ref="I30:K30"/>
    <mergeCell ref="S36:T36"/>
    <mergeCell ref="P26:R26"/>
    <mergeCell ref="F10:H10"/>
    <mergeCell ref="A18:D18"/>
    <mergeCell ref="F19:H19"/>
    <mergeCell ref="AH26:AR26"/>
    <mergeCell ref="P10:R10"/>
    <mergeCell ref="S29:T29"/>
    <mergeCell ref="F2:O2"/>
    <mergeCell ref="AH16:AR16"/>
    <mergeCell ref="P34:R34"/>
    <mergeCell ref="U12:AG12"/>
    <mergeCell ref="S31:T31"/>
  </mergeCells>
  <printOptions horizontalCentered="1" gridLines="1"/>
  <pageMargins left="0.7" right="0.7" top="0.75" bottom="0.75" header="0" footer="0"/>
  <pageSetup orientation="landscape" paperSize="9" fitToHeight="0" pageOrder="overThenDown" cellComments="atEnd"/>
</worksheet>
</file>

<file path=xl/worksheets/sheet4.xml><?xml version="1.0" encoding="utf-8"?>
<worksheet xmlns="http://schemas.openxmlformats.org/spreadsheetml/2006/main">
  <sheetPr>
    <outlinePr summaryBelow="0" summaryRight="0"/>
    <pageSetUpPr fitToPage="1"/>
  </sheetPr>
  <dimension ref="A1:AU37"/>
  <sheetViews>
    <sheetView workbookViewId="0">
      <selection activeCell="A1" sqref="A1"/>
    </sheetView>
  </sheetViews>
  <sheetFormatPr baseColWidth="8" defaultColWidth="12.63" defaultRowHeight="15.75" customHeight="1"/>
  <cols>
    <col width="6.25" customWidth="1" style="77" min="1" max="1"/>
    <col width="7.63" customWidth="1" style="77" min="2" max="2"/>
    <col width="5.75" customWidth="1" style="77" min="3" max="3"/>
    <col width="6.38" customWidth="1" style="77" min="4" max="4"/>
    <col width="6.5" customWidth="1" style="77" min="5" max="5"/>
    <col width="4.5" customWidth="1" style="77" min="6" max="16"/>
    <col width="4.75" customWidth="1" style="77" min="17" max="17"/>
    <col width="4.25" customWidth="1" style="77" min="18" max="18"/>
    <col width="4.88" customWidth="1" style="77" min="19" max="19"/>
    <col width="4.5" customWidth="1" style="77" min="20" max="32"/>
    <col width="6.75" customWidth="1" style="77" min="33" max="33"/>
    <col width="4.5" customWidth="1" style="77" min="34" max="47"/>
  </cols>
  <sheetData>
    <row r="1">
      <c r="A1" s="1" t="inlineStr">
        <is>
          <t xml:space="preserve">PS </t>
        </is>
      </c>
      <c r="B1" s="2" t="n">
        <v>150</v>
      </c>
      <c r="C1" s="2" t="n">
        <v>150</v>
      </c>
      <c r="D1" s="3">
        <f>B1/C1</f>
        <v/>
      </c>
      <c r="E1" s="28" t="n"/>
      <c r="F1" s="6">
        <f>C1*0.1</f>
        <v/>
      </c>
      <c r="G1" s="6">
        <f>C1*0.2</f>
        <v/>
      </c>
      <c r="H1" s="6">
        <f>C1*0.3</f>
        <v/>
      </c>
      <c r="I1" s="6">
        <f>C1*0.4</f>
        <v/>
      </c>
      <c r="J1" s="6">
        <f>C1*0.5</f>
        <v/>
      </c>
      <c r="K1" s="6">
        <f>C1*0.6</f>
        <v/>
      </c>
      <c r="L1" s="6">
        <f>C1*0.7</f>
        <v/>
      </c>
      <c r="M1" s="6">
        <f>C1*0.8</f>
        <v/>
      </c>
      <c r="N1" s="6">
        <f>C1*0.9</f>
        <v/>
      </c>
      <c r="O1" s="6">
        <f>C1</f>
        <v/>
      </c>
      <c r="P1" s="28" t="n"/>
      <c r="Q1" s="16" t="inlineStr">
        <is>
          <t>RESISTANCES</t>
        </is>
      </c>
      <c r="R1" s="78" t="n"/>
      <c r="S1" s="78" t="n"/>
      <c r="T1" s="78" t="n"/>
      <c r="U1" s="78" t="n"/>
      <c r="V1" s="78" t="n"/>
      <c r="W1" s="78" t="n"/>
      <c r="X1" s="78" t="n"/>
      <c r="Y1" s="78" t="n"/>
      <c r="Z1" s="78" t="n"/>
      <c r="AA1" s="78" t="n"/>
      <c r="AB1" s="78" t="n"/>
      <c r="AC1" s="79" t="n"/>
      <c r="AD1" s="28" t="n"/>
      <c r="AE1" s="28" t="n"/>
      <c r="AF1" s="28" t="n"/>
      <c r="AG1" s="11" t="n"/>
      <c r="AH1" s="28" t="n"/>
      <c r="AI1" s="28" t="n"/>
      <c r="AJ1" s="28" t="n"/>
      <c r="AK1" s="28" t="n"/>
      <c r="AL1" s="28" t="n"/>
      <c r="AM1" s="28" t="n"/>
      <c r="AN1" s="28" t="n"/>
      <c r="AO1" s="28" t="n"/>
      <c r="AP1" s="28" t="n"/>
      <c r="AQ1" s="28" t="n"/>
      <c r="AR1" s="28" t="n"/>
      <c r="AS1" s="28" t="n"/>
      <c r="AT1" s="28" t="n"/>
      <c r="AU1" s="28" t="n"/>
    </row>
    <row r="2" ht="17.25" customHeight="1" s="77">
      <c r="A2" s="28" t="n"/>
      <c r="B2" s="28" t="n"/>
      <c r="C2" s="28" t="n"/>
      <c r="D2" s="28" t="n"/>
      <c r="E2" s="28" t="n"/>
      <c r="F2" s="12" t="inlineStr">
        <is>
          <t>Barra de PS</t>
        </is>
      </c>
      <c r="P2" s="28" t="n"/>
      <c r="Q2" s="13" t="inlineStr">
        <is>
          <t>Slash</t>
        </is>
      </c>
      <c r="R2" s="14" t="inlineStr">
        <is>
          <t>Pier</t>
        </is>
      </c>
      <c r="S2" s="13" t="inlineStr">
        <is>
          <t>Bludg</t>
        </is>
      </c>
      <c r="T2" s="14" t="inlineStr">
        <is>
          <t>Fire</t>
        </is>
      </c>
      <c r="U2" s="13" t="inlineStr">
        <is>
          <t>Cold</t>
        </is>
      </c>
      <c r="V2" s="14" t="inlineStr">
        <is>
          <t>Light</t>
        </is>
      </c>
      <c r="W2" s="13" t="inlineStr">
        <is>
          <t>Thun</t>
        </is>
      </c>
      <c r="X2" s="14" t="inlineStr">
        <is>
          <t>Pois</t>
        </is>
      </c>
      <c r="Y2" s="14" t="inlineStr">
        <is>
          <t>Acid</t>
        </is>
      </c>
      <c r="Z2" s="14" t="inlineStr">
        <is>
          <t>Rad</t>
        </is>
      </c>
      <c r="AA2" s="14" t="inlineStr">
        <is>
          <t>Nec</t>
        </is>
      </c>
      <c r="AB2" s="14" t="inlineStr">
        <is>
          <t>Psi</t>
        </is>
      </c>
      <c r="AC2" s="29" t="inlineStr">
        <is>
          <t>Forc</t>
        </is>
      </c>
      <c r="AD2" s="28" t="n"/>
      <c r="AE2" s="28" t="n"/>
      <c r="AF2" s="28" t="n"/>
      <c r="AG2" s="28" t="n"/>
      <c r="AH2" s="28" t="n"/>
      <c r="AI2" s="28" t="n"/>
      <c r="AJ2" s="28" t="n"/>
      <c r="AK2" s="28" t="n"/>
      <c r="AL2" s="28" t="n"/>
      <c r="AM2" s="28" t="n"/>
      <c r="AN2" s="28" t="n"/>
      <c r="AO2" s="28" t="n"/>
      <c r="AP2" s="28" t="n"/>
      <c r="AQ2" s="28" t="n"/>
      <c r="AR2" s="28" t="n"/>
      <c r="AS2" s="28" t="n"/>
      <c r="AT2" s="28" t="n"/>
      <c r="AU2" s="28" t="n"/>
    </row>
    <row r="3" ht="16.5" customHeight="1" s="77">
      <c r="A3" s="16" t="inlineStr">
        <is>
          <t>Speed</t>
        </is>
      </c>
      <c r="B3" s="21" t="inlineStr">
        <is>
          <t>Initiative</t>
        </is>
      </c>
      <c r="C3" s="21" t="inlineStr">
        <is>
          <t>SSDC</t>
        </is>
      </c>
      <c r="D3" s="21" t="inlineStr">
        <is>
          <t>AC</t>
        </is>
      </c>
      <c r="E3" s="28" t="n"/>
      <c r="F3" s="28" t="n"/>
      <c r="G3" s="28" t="n"/>
      <c r="H3" s="28" t="n"/>
      <c r="I3" s="28" t="n"/>
      <c r="J3" s="28" t="n"/>
      <c r="K3" s="28" t="n"/>
      <c r="L3" s="28" t="n"/>
      <c r="M3" s="28" t="n"/>
      <c r="N3" s="28" t="n"/>
      <c r="O3" s="28" t="n"/>
      <c r="P3" s="28" t="n"/>
      <c r="Q3" s="33" t="n"/>
      <c r="R3" s="32" t="n"/>
      <c r="S3" s="33" t="n"/>
      <c r="T3" s="32" t="n"/>
      <c r="U3" s="33" t="inlineStr">
        <is>
          <t>R</t>
        </is>
      </c>
      <c r="V3" s="32" t="n"/>
      <c r="W3" s="33" t="n"/>
      <c r="X3" s="32" t="inlineStr">
        <is>
          <t>Imm</t>
        </is>
      </c>
      <c r="Y3" s="32" t="n"/>
      <c r="Z3" s="32" t="n"/>
      <c r="AA3" s="32" t="inlineStr">
        <is>
          <t>R</t>
        </is>
      </c>
      <c r="AB3" s="32" t="n"/>
      <c r="AC3" s="32" t="n"/>
      <c r="AD3" s="28" t="n"/>
      <c r="AE3" s="28" t="n"/>
      <c r="AF3" s="28" t="n"/>
      <c r="AG3" s="20" t="n"/>
      <c r="AH3" s="20" t="n"/>
      <c r="AI3" s="20" t="n"/>
      <c r="AJ3" s="20" t="n"/>
      <c r="AK3" s="20" t="n"/>
      <c r="AL3" s="28" t="n"/>
      <c r="AM3" s="28" t="n"/>
      <c r="AN3" s="28" t="n"/>
      <c r="AO3" s="28" t="n"/>
      <c r="AP3" s="28" t="n"/>
      <c r="AQ3" s="28" t="n"/>
      <c r="AR3" s="28" t="n"/>
      <c r="AS3" s="28" t="n"/>
      <c r="AT3" s="28" t="n"/>
      <c r="AU3" s="28" t="n"/>
    </row>
    <row r="4">
      <c r="A4" s="21" t="inlineStr">
        <is>
          <t>6 - 30ft trepadora</t>
        </is>
      </c>
      <c r="B4" s="25" t="n"/>
      <c r="C4" s="25" t="n">
        <v>14</v>
      </c>
      <c r="D4" s="25" t="n">
        <v>15</v>
      </c>
      <c r="F4" s="80" t="inlineStr">
        <is>
          <t>STATS</t>
        </is>
      </c>
      <c r="G4" s="78" t="n"/>
      <c r="H4" s="78" t="n"/>
      <c r="I4" s="78" t="n"/>
      <c r="J4" s="78" t="n"/>
      <c r="K4" s="78" t="n"/>
      <c r="L4" s="79" t="n"/>
      <c r="M4" s="24" t="n"/>
      <c r="N4" s="24" t="inlineStr">
        <is>
          <t>—</t>
        </is>
      </c>
      <c r="O4" s="24" t="n"/>
      <c r="P4" s="28" t="n"/>
      <c r="Q4" s="28" t="n"/>
      <c r="R4" s="28" t="n"/>
      <c r="S4" s="28" t="n"/>
      <c r="T4" s="28" t="n"/>
      <c r="U4" s="28" t="n"/>
      <c r="V4" s="28" t="n"/>
      <c r="W4" s="28" t="n"/>
      <c r="X4" s="28" t="n"/>
      <c r="Y4" s="28" t="n"/>
      <c r="Z4" s="28" t="n"/>
      <c r="AA4" s="28" t="n"/>
      <c r="AB4" s="28" t="n"/>
      <c r="AC4" s="28" t="n"/>
      <c r="AD4" s="28" t="n"/>
      <c r="AE4" s="28" t="n"/>
      <c r="AF4" s="28" t="n"/>
      <c r="AG4" s="28" t="n"/>
      <c r="AH4" s="28" t="n"/>
      <c r="AI4" s="28" t="n"/>
      <c r="AJ4" s="28" t="n"/>
      <c r="AK4" s="28" t="n"/>
      <c r="AL4" s="28" t="n"/>
      <c r="AM4" s="28" t="n"/>
      <c r="AN4" s="28" t="n"/>
      <c r="AO4" s="28" t="n"/>
      <c r="AP4" s="28" t="n"/>
      <c r="AQ4" s="28" t="n"/>
      <c r="AR4" s="28" t="n"/>
      <c r="AS4" s="28" t="n"/>
      <c r="AT4" s="28" t="n"/>
      <c r="AU4" s="28" t="n"/>
    </row>
    <row r="5">
      <c r="C5" s="27" t="inlineStr"/>
      <c r="D5" s="27" t="inlineStr"/>
      <c r="F5" s="25" t="n"/>
      <c r="G5" s="25" t="inlineStr">
        <is>
          <t>CON</t>
        </is>
      </c>
      <c r="H5" s="25" t="inlineStr">
        <is>
          <t>STR</t>
        </is>
      </c>
      <c r="I5" s="25" t="inlineStr">
        <is>
          <t>DEX</t>
        </is>
      </c>
      <c r="J5" s="25" t="inlineStr">
        <is>
          <t>WIS</t>
        </is>
      </c>
      <c r="K5" s="25" t="inlineStr">
        <is>
          <t>INT</t>
        </is>
      </c>
      <c r="L5" s="25" t="inlineStr">
        <is>
          <t>CAR</t>
        </is>
      </c>
      <c r="P5" s="28" t="n"/>
      <c r="Q5" s="26" t="inlineStr">
        <is>
          <t>IMMUNITIES</t>
        </is>
      </c>
      <c r="T5" s="28" t="inlineStr">
        <is>
          <t>Poisoned, Charm</t>
        </is>
      </c>
      <c r="AD5" s="28" t="n"/>
      <c r="AE5" s="28" t="n"/>
      <c r="AF5" s="28" t="n"/>
      <c r="AG5" s="28" t="n"/>
      <c r="AH5" s="28" t="n"/>
      <c r="AI5" s="28" t="n"/>
      <c r="AJ5" s="28" t="n"/>
      <c r="AK5" s="28" t="n"/>
      <c r="AL5" s="28" t="n"/>
      <c r="AM5" s="28" t="n"/>
      <c r="AN5" s="28" t="n"/>
      <c r="AO5" s="28" t="n"/>
      <c r="AP5" s="28" t="n"/>
      <c r="AQ5" s="28" t="n"/>
      <c r="AR5" s="28" t="n"/>
      <c r="AS5" s="28" t="n"/>
      <c r="AT5" s="28" t="n"/>
      <c r="AU5" s="28" t="n"/>
    </row>
    <row r="6">
      <c r="A6" s="25" t="inlineStr">
        <is>
          <t>Entropy</t>
        </is>
      </c>
      <c r="B6" s="25" t="n"/>
      <c r="D6" s="25" t="inlineStr">
        <is>
          <t>MartDC</t>
        </is>
      </c>
      <c r="F6" s="25" t="inlineStr">
        <is>
          <t>Plus</t>
        </is>
      </c>
      <c r="G6" s="25" t="n">
        <v>3</v>
      </c>
      <c r="H6" s="25" t="n">
        <v>2</v>
      </c>
      <c r="I6" s="25" t="n">
        <v>4</v>
      </c>
      <c r="J6" s="25" t="n">
        <v>1</v>
      </c>
      <c r="K6" s="25" t="n">
        <v>0</v>
      </c>
      <c r="L6" s="25" t="n">
        <v>2</v>
      </c>
      <c r="N6" s="27" t="n"/>
      <c r="P6" s="28" t="n"/>
      <c r="Q6" s="26" t="inlineStr">
        <is>
          <t>SENSES</t>
        </is>
      </c>
      <c r="T6" s="28" t="inlineStr">
        <is>
          <t>Vibracion 60ft</t>
        </is>
      </c>
      <c r="AD6" s="28" t="n"/>
      <c r="AE6" s="28" t="n"/>
      <c r="AF6" s="28" t="n"/>
      <c r="AG6" s="28" t="n"/>
      <c r="AH6" s="28" t="n"/>
      <c r="AI6" s="28" t="n"/>
      <c r="AJ6" s="28" t="n"/>
      <c r="AK6" s="28" t="n"/>
      <c r="AL6" s="28" t="n"/>
      <c r="AM6" s="28" t="n"/>
      <c r="AN6" s="28" t="n"/>
      <c r="AO6" s="28" t="n"/>
      <c r="AP6" s="28" t="n"/>
      <c r="AQ6" s="28" t="n"/>
      <c r="AR6" s="28" t="n"/>
      <c r="AS6" s="28" t="n"/>
      <c r="AT6" s="28" t="n"/>
      <c r="AU6" s="28" t="n"/>
    </row>
    <row r="7">
      <c r="A7" s="25" t="n">
        <v>0</v>
      </c>
      <c r="B7" s="25" t="n"/>
      <c r="D7" s="25" t="n">
        <v>13</v>
      </c>
      <c r="E7" s="27" t="inlineStr"/>
      <c r="F7" s="25" t="inlineStr">
        <is>
          <t>Save</t>
        </is>
      </c>
      <c r="G7" s="25" t="n">
        <v>5</v>
      </c>
      <c r="H7" s="25" t="n">
        <v>2</v>
      </c>
      <c r="I7" s="25" t="n">
        <v>6</v>
      </c>
      <c r="J7" s="25" t="n">
        <v>1</v>
      </c>
      <c r="K7" s="25" t="n">
        <v>0</v>
      </c>
      <c r="L7" s="25" t="n">
        <v>2</v>
      </c>
      <c r="P7" s="28" t="n"/>
      <c r="Q7" s="26" t="inlineStr">
        <is>
          <t>LANGUAGES</t>
        </is>
      </c>
      <c r="T7" s="28" t="inlineStr">
        <is>
          <t>—</t>
        </is>
      </c>
      <c r="AD7" s="28" t="n"/>
      <c r="AE7" s="28" t="n"/>
      <c r="AF7" s="28" t="n"/>
      <c r="AG7" s="28" t="n"/>
      <c r="AH7" s="28" t="n"/>
      <c r="AI7" s="28" t="n"/>
      <c r="AJ7" s="28" t="n"/>
      <c r="AK7" s="28" t="n"/>
      <c r="AL7" s="28" t="n"/>
      <c r="AM7" s="28" t="n"/>
      <c r="AN7" s="28" t="n"/>
      <c r="AO7" s="28" t="n"/>
      <c r="AP7" s="28" t="n"/>
      <c r="AQ7" s="28" t="n"/>
      <c r="AR7" s="28" t="n"/>
      <c r="AS7" s="28" t="n"/>
      <c r="AT7" s="28" t="n"/>
      <c r="AU7" s="28" t="n"/>
    </row>
    <row r="8">
      <c r="P8" s="28" t="n"/>
      <c r="Q8" s="28" t="n"/>
      <c r="R8" s="28" t="n"/>
      <c r="S8" s="28" t="n"/>
      <c r="T8" s="28" t="n"/>
      <c r="U8" s="28" t="n"/>
      <c r="V8" s="28" t="n"/>
      <c r="W8" s="28" t="n"/>
      <c r="X8" s="28" t="n"/>
      <c r="Y8" s="28" t="n"/>
      <c r="Z8" s="28" t="n"/>
      <c r="AA8" s="28" t="n"/>
      <c r="AB8" s="28" t="n"/>
      <c r="AC8" s="28" t="n"/>
      <c r="AD8" s="28" t="n"/>
      <c r="AE8" s="28" t="n"/>
      <c r="AF8" s="28" t="n"/>
      <c r="AG8" s="28" t="n"/>
      <c r="AH8" s="28" t="n"/>
      <c r="AI8" s="28" t="n"/>
      <c r="AJ8" s="28" t="n"/>
      <c r="AK8" s="28" t="n"/>
      <c r="AL8" s="28" t="n"/>
      <c r="AM8" s="28" t="n"/>
      <c r="AN8" s="28" t="n"/>
      <c r="AO8" s="28" t="n"/>
      <c r="AP8" s="28" t="n"/>
      <c r="AQ8" s="28" t="n"/>
      <c r="AR8" s="28" t="n"/>
      <c r="AS8" s="28" t="n"/>
      <c r="AT8" s="28" t="n"/>
      <c r="AU8" s="28" t="n"/>
    </row>
    <row r="10">
      <c r="A10" s="30" t="inlineStr">
        <is>
          <t>Ataque</t>
        </is>
      </c>
      <c r="E10" s="30" t="inlineStr">
        <is>
          <t>Entropy</t>
        </is>
      </c>
      <c r="F10" s="30" t="inlineStr">
        <is>
          <t>Action</t>
        </is>
      </c>
      <c r="I10" s="30" t="inlineStr">
        <is>
          <t>Forma</t>
        </is>
      </c>
      <c r="L10" s="30" t="inlineStr">
        <is>
          <t>Range</t>
        </is>
      </c>
      <c r="M10" s="30" t="inlineStr">
        <is>
          <t>Type</t>
        </is>
      </c>
      <c r="P10" s="30" t="inlineStr">
        <is>
          <t>Damage</t>
        </is>
      </c>
      <c r="S10" s="30" t="inlineStr">
        <is>
          <t>Status</t>
        </is>
      </c>
      <c r="U10" s="40" t="inlineStr">
        <is>
          <t>Descripcion</t>
        </is>
      </c>
      <c r="AH10" s="30" t="inlineStr">
        <is>
          <t>Flavour</t>
        </is>
      </c>
    </row>
    <row r="11" ht="171.75" customHeight="1" s="77">
      <c r="A11" s="41" t="inlineStr">
        <is>
          <t>Traits</t>
        </is>
      </c>
      <c r="B11" s="78" t="n"/>
      <c r="C11" s="78" t="n"/>
      <c r="D11" s="78" t="n"/>
      <c r="E11" s="43" t="inlineStr">
        <is>
          <t>Remnant. Adaptive. Trapper. Defender. Improved Combo. Merciful. Moral Breaker. Hidden Nat20 / Last Stand. Gimmicks: ENVUELTO cada 3r (Web Wrap Maexxna) + CHARCO (Grobbulus) crit/sever = charco 10ft max4, ella dentro +1 atk.</t>
        </is>
      </c>
      <c r="F11" s="78" t="n"/>
      <c r="G11" s="78" t="n"/>
      <c r="H11" s="78" t="n"/>
      <c r="I11" s="78" t="n"/>
      <c r="J11" s="78" t="n"/>
      <c r="K11" s="78" t="n"/>
      <c r="L11" s="78" t="n"/>
      <c r="M11" s="78" t="n"/>
      <c r="N11" s="78" t="n"/>
      <c r="O11" s="78" t="n"/>
      <c r="P11" s="78" t="n"/>
      <c r="Q11" s="78" t="n"/>
      <c r="R11" s="78" t="n"/>
      <c r="S11" s="78" t="n"/>
      <c r="T11" s="78" t="n"/>
      <c r="U11" s="78" t="n"/>
      <c r="V11" s="78" t="n"/>
      <c r="W11" s="78" t="n"/>
      <c r="X11" s="78" t="n"/>
      <c r="Y11" s="78" t="n"/>
      <c r="Z11" s="78" t="n"/>
      <c r="AA11" s="78" t="n"/>
      <c r="AB11" s="78" t="n"/>
      <c r="AC11" s="78" t="n"/>
      <c r="AD11" s="78" t="n"/>
      <c r="AE11" s="78" t="n"/>
      <c r="AF11" s="78" t="n"/>
      <c r="AG11" s="78" t="n"/>
      <c r="AH11" s="78" t="n"/>
      <c r="AI11" s="78" t="n"/>
      <c r="AJ11" s="78" t="n"/>
      <c r="AK11" s="78" t="n"/>
      <c r="AL11" s="78" t="n"/>
      <c r="AM11" s="78" t="n"/>
      <c r="AN11" s="78" t="n"/>
      <c r="AO11" s="78" t="n"/>
      <c r="AP11" s="78" t="n"/>
      <c r="AQ11" s="78" t="n"/>
      <c r="AR11" s="78" t="n"/>
    </row>
    <row r="12" ht="137.25" customHeight="1" s="77">
      <c r="A12" s="36" t="inlineStr">
        <is>
          <t>Muda Forzada (Last Stand)</t>
        </is>
      </c>
      <c r="E12" s="36" t="inlineStr">
        <is>
          <t>—</t>
        </is>
      </c>
      <c r="F12" s="36" t="inlineStr">
        <is>
          <t>Pasiva</t>
        </is>
      </c>
      <c r="I12" s="36" t="inlineStr">
        <is>
          <t>Single</t>
        </is>
      </c>
      <c r="L12" s="36" t="n">
        <v>1</v>
      </c>
      <c r="M12" s="36" t="inlineStr">
        <is>
          <t>Other</t>
        </is>
      </c>
      <c r="P12" s="36" t="inlineStr">
        <is>
          <t>—</t>
        </is>
      </c>
      <c r="S12" s="36" t="inlineStr">
        <is>
          <t>Slowed</t>
        </is>
      </c>
      <c r="U12" s="38" t="inlineStr">
        <is>
          <t>A 0 HP: cura 40 + DC14 CON 3d10 Cold 30ft/mitad 60ft + Slowed 1r. Gate Nat20.</t>
        </is>
      </c>
      <c r="AH12" s="38" t="inlineStr">
        <is>
          <t>Legend</t>
        </is>
      </c>
    </row>
    <row r="13">
      <c r="A13" s="75" t="inlineStr">
        <is>
          <t>Antenas Volt (Componente)</t>
        </is>
      </c>
      <c r="E13" s="75" t="inlineStr">
        <is>
          <t>—</t>
        </is>
      </c>
      <c r="F13" s="75" t="inlineStr">
        <is>
          <t>Pasiva</t>
        </is>
      </c>
      <c r="I13" s="75" t="inlineStr">
        <is>
          <t>Self</t>
        </is>
      </c>
      <c r="L13" s="75" t="inlineStr">
        <is>
          <t>Self</t>
        </is>
      </c>
      <c r="M13" s="75" t="inlineStr">
        <is>
          <t>Other</t>
        </is>
      </c>
      <c r="P13" t="inlineStr">
        <is>
          <t>—</t>
        </is>
      </c>
      <c r="S13" s="75" t="inlineStr">
        <is>
          <t>—</t>
        </is>
      </c>
      <c r="U13" s="76" t="inlineStr">
        <is>
          <t>Sever DC14 vs DEX: 15 dmg + pierde trepar.</t>
        </is>
      </c>
      <c r="AH13" s="76" t="inlineStr">
        <is>
          <t>Component</t>
        </is>
      </c>
    </row>
    <row r="14">
      <c r="A14" s="48" t="inlineStr">
        <is>
          <t>Saco Incubador (Componente)</t>
        </is>
      </c>
      <c r="E14" s="46" t="inlineStr">
        <is>
          <t>—</t>
        </is>
      </c>
      <c r="F14" s="48" t="inlineStr">
        <is>
          <t>Pasiva</t>
        </is>
      </c>
      <c r="I14" s="48" t="inlineStr">
        <is>
          <t>Self</t>
        </is>
      </c>
      <c r="L14" s="48" t="inlineStr">
        <is>
          <t>Self</t>
        </is>
      </c>
      <c r="M14" s="48" t="inlineStr">
        <is>
          <t>Other</t>
        </is>
      </c>
      <c r="P14" s="48" t="inlineStr">
        <is>
          <t>—</t>
        </is>
      </c>
      <c r="S14" s="48" t="inlineStr">
        <is>
          <t>Prone</t>
        </is>
      </c>
      <c r="U14" s="49" t="inlineStr">
        <is>
          <t>Sever DC14: 25 dmg + no mas charcos + Prone 1r.</t>
        </is>
      </c>
      <c r="AH14" s="48" t="inlineStr">
        <is>
          <t>Component</t>
        </is>
      </c>
      <c r="AS14" s="28" t="n"/>
      <c r="AT14" s="28" t="n"/>
      <c r="AU14" s="28" t="n"/>
    </row>
    <row r="15">
      <c r="A15" s="75" t="inlineStr">
        <is>
          <t>ENVUELTO Web Wrap</t>
        </is>
      </c>
      <c r="E15" s="75" t="inlineStr">
        <is>
          <t>—</t>
        </is>
      </c>
      <c r="F15" s="75" t="inlineStr">
        <is>
          <t>Pasiva</t>
        </is>
      </c>
      <c r="I15" s="75" t="inlineStr">
        <is>
          <t>Single</t>
        </is>
      </c>
      <c r="L15" s="75" t="n">
        <v>6</v>
      </c>
      <c r="M15" s="75" t="inlineStr">
        <is>
          <t>Other</t>
        </is>
      </c>
      <c r="P15" t="inlineStr">
        <is>
          <t>—</t>
        </is>
      </c>
      <c r="S15" s="75" t="inlineStr">
        <is>
          <t>Restrained Poisoned</t>
        </is>
      </c>
      <c r="U15" s="76" t="inlineStr">
        <is>
          <t>Cada 3r marca lejano. Siguiente turno Restrained capullo AC12 10HP vuln Slash. 2r atrapado = Poisoned.</t>
        </is>
      </c>
      <c r="AH15" s="76" t="inlineStr">
        <is>
          <t>Telegraphed</t>
        </is>
      </c>
    </row>
    <row r="16">
      <c r="A16" s="36" t="inlineStr">
        <is>
          <t>CHARCO Grobbulus</t>
        </is>
      </c>
      <c r="E16" s="36" t="inlineStr">
        <is>
          <t>—</t>
        </is>
      </c>
      <c r="F16" s="36" t="inlineStr">
        <is>
          <t>Pasiva</t>
        </is>
      </c>
      <c r="I16" s="36" t="inlineStr">
        <is>
          <t>Circle</t>
        </is>
      </c>
      <c r="L16" s="36" t="n">
        <v>2</v>
      </c>
      <c r="M16" s="36" t="inlineStr">
        <is>
          <t>Poison</t>
        </is>
      </c>
      <c r="P16" s="36" t="inlineStr">
        <is>
          <t>DC14 CON
1d6</t>
        </is>
      </c>
      <c r="S16" s="36" t="inlineStr">
        <is>
          <t>Poisoned</t>
        </is>
      </c>
      <c r="U16" s="38" t="inlineStr">
        <is>
          <t>Crit o sever = charco 10ft. Entrar/terminar o Poisoned. Ella dentro +1 atk. Kitearla fuera.</t>
        </is>
      </c>
      <c r="AH16" s="38" t="inlineStr">
        <is>
          <t>Damaging terrain</t>
        </is>
      </c>
    </row>
    <row r="17">
      <c r="A17" s="75" t="inlineStr">
        <is>
          <t>Mordisco Paral######izante</t>
        </is>
      </c>
      <c r="E17" s="75" t="inlineStr">
        <is>
          <t>0</t>
        </is>
      </c>
      <c r="F17" s="75" t="inlineStr">
        <is>
          <t>AP</t>
        </is>
      </c>
      <c r="I17" s="75" t="inlineStr">
        <is>
          <t>Single</t>
        </is>
      </c>
      <c r="L17" s="75" t="n">
        <v>1</v>
      </c>
      <c r="M17" s="75" t="inlineStr">
        <is>
          <t>Piercing</t>
        </is>
      </c>
      <c r="P17" t="inlineStr">
        <is>
          <t>HIT +6
2d6+3</t>
        </is>
      </c>
      <c r="S17" s="75" t="inlineStr">
        <is>
          <t>Poisoned Bleed 2/2</t>
        </is>
      </c>
      <c r="U17" s="76" t="inlineStr">
        <is>
          <t>DC14 CON o Poisoned 1r + Bleed 2/2.</t>
        </is>
      </c>
      <c r="AH17" s="76" t="inlineStr">
        <is>
          <t>Melee Attack</t>
        </is>
      </c>
    </row>
    <row r="18">
      <c r="A18" s="50" t="inlineStr">
        <is>
          <t>Pua Glacial</t>
        </is>
      </c>
      <c r="E18" s="51" t="inlineStr">
        <is>
          <t>—</t>
        </is>
      </c>
      <c r="F18" s="48" t="inlineStr">
        <is>
          <t>AP</t>
        </is>
      </c>
      <c r="I18" s="48" t="inlineStr">
        <is>
          <t>Single</t>
        </is>
      </c>
      <c r="L18" s="48" t="inlineStr">
        <is>
          <t>12 (60ft)</t>
        </is>
      </c>
      <c r="M18" s="48" t="inlineStr">
        <is>
          <t>Cold</t>
        </is>
      </c>
      <c r="P18" s="48" t="inlineStr">
        <is>
          <t>HIT +6
2d8+4</t>
        </is>
      </c>
      <c r="S18" s="48" t="inlineStr">
        <is>
          <t>SLOWED</t>
        </is>
      </c>
      <c r="U18" s="49" t="inlineStr">
        <is>
          <t>Speed -10ft. +1d8 si Restrained.</t>
        </is>
      </c>
      <c r="AH18" s="48" t="inlineStr">
        <is>
          <t>Ranged Attack</t>
        </is>
      </c>
      <c r="AS18" s="28" t="n"/>
      <c r="AT18" s="28" t="n"/>
      <c r="AU18" s="28" t="n"/>
    </row>
    <row r="19">
      <c r="A19" s="54" t="inlineStr">
        <is>
          <t>Red Glacial</t>
        </is>
      </c>
      <c r="B19" s="81" t="n"/>
      <c r="C19" s="81" t="n"/>
      <c r="D19" s="81" t="n"/>
      <c r="E19" s="54" t="inlineStr">
        <is>
          <t>—</t>
        </is>
      </c>
      <c r="F19" s="54" t="inlineStr">
        <is>
          <t>AS</t>
        </is>
      </c>
      <c r="G19" s="81" t="n"/>
      <c r="H19" s="81" t="n"/>
      <c r="I19" s="54" t="inlineStr">
        <is>
          <t>Circle</t>
        </is>
      </c>
      <c r="J19" s="81" t="n"/>
      <c r="K19" s="81" t="n"/>
      <c r="L19" s="54" t="n">
        <v>4</v>
      </c>
      <c r="M19" s="54" t="inlineStr">
        <is>
          <t>Cold</t>
        </is>
      </c>
      <c r="N19" s="81" t="n"/>
      <c r="O19" s="81" t="n"/>
      <c r="P19" s="54" t="inlineStr">
        <is>
          <t>—</t>
        </is>
      </c>
      <c r="Q19" s="81" t="n"/>
      <c r="R19" s="81" t="n"/>
      <c r="S19" s="54" t="inlineStr">
        <is>
          <t>Restrained</t>
        </is>
      </c>
      <c r="T19" s="81" t="n"/>
      <c r="U19" s="56" t="inlineStr">
        <is>
          <t>Zona dificil + DC14 o Restrained (accion DC14 salir) + 1d6 Cold. Max2. Quemable Fire AC10 10HP.</t>
        </is>
      </c>
      <c r="V19" s="81" t="n"/>
      <c r="W19" s="81" t="n"/>
      <c r="X19" s="81" t="n"/>
      <c r="Y19" s="81" t="n"/>
      <c r="Z19" s="81" t="n"/>
      <c r="AA19" s="81" t="n"/>
      <c r="AB19" s="81" t="n"/>
      <c r="AC19" s="81" t="n"/>
      <c r="AD19" s="81" t="n"/>
      <c r="AE19" s="81" t="n"/>
      <c r="AF19" s="81" t="n"/>
      <c r="AG19" s="81" t="n"/>
      <c r="AH19" s="56" t="inlineStr">
        <is>
          <t>Control</t>
        </is>
      </c>
      <c r="AI19" s="81" t="n"/>
      <c r="AJ19" s="81" t="n"/>
      <c r="AK19" s="81" t="n"/>
      <c r="AL19" s="81" t="n"/>
      <c r="AM19" s="81" t="n"/>
      <c r="AN19" s="81" t="n"/>
      <c r="AO19" s="81" t="n"/>
      <c r="AP19" s="81" t="n"/>
      <c r="AQ19" s="81" t="n"/>
      <c r="AR19" s="81" t="n"/>
      <c r="AS19" s="57" t="n"/>
      <c r="AT19" s="57" t="n"/>
      <c r="AU19" s="57" t="n"/>
    </row>
    <row r="20">
      <c r="A20" s="36" t="inlineStr">
        <is>
          <t>Eclosion Venenosa</t>
        </is>
      </c>
      <c r="E20" s="58" t="inlineStr">
        <is>
          <t>—</t>
        </is>
      </c>
      <c r="F20" s="36" t="inlineStr">
        <is>
          <t>AP</t>
        </is>
      </c>
      <c r="I20" s="36" t="inlineStr">
        <is>
          <t>Single</t>
        </is>
      </c>
      <c r="L20" s="36" t="n">
        <v>2</v>
      </c>
      <c r="M20" s="36" t="inlineStr">
        <is>
          <t>Poison</t>
        </is>
      </c>
      <c r="P20" t="inlineStr">
        <is>
          <t>DC14 CON
3d6</t>
        </is>
      </c>
      <c r="S20" s="36" t="inlineStr">
        <is>
          <t>Slowed</t>
        </is>
      </c>
      <c r="U20" s="38" t="inlineStr">
        <is>
          <t>Si tenia Bleed/Poisoned aplica Slowed 1r. Exito mitad sin slow. Combo: muerde-&gt;enreda-&gt;eclosiona.</t>
        </is>
      </c>
      <c r="AH20" s="38" t="inlineStr">
        <is>
          <t>Combo Payoff</t>
        </is>
      </c>
    </row>
    <row r="21">
      <c r="A21" s="54" t="inlineStr">
        <is>
          <t>Chillido de Muda</t>
        </is>
      </c>
      <c r="B21" s="81" t="n"/>
      <c r="C21" s="81" t="n"/>
      <c r="D21" s="81" t="n"/>
      <c r="E21" s="54" t="inlineStr">
        <is>
          <t>—</t>
        </is>
      </c>
      <c r="F21" s="54" t="inlineStr">
        <is>
          <t>AP</t>
        </is>
      </c>
      <c r="G21" s="81" t="n"/>
      <c r="H21" s="81" t="n"/>
      <c r="I21" s="54" t="inlineStr">
        <is>
          <t>Cone</t>
        </is>
      </c>
      <c r="J21" s="81" t="n"/>
      <c r="K21" s="81" t="n"/>
      <c r="L21" s="54" t="inlineStr">
        <is>
          <t>6 (30ft)</t>
        </is>
      </c>
      <c r="M21" s="54" t="inlineStr">
        <is>
          <t>Psychic</t>
        </is>
      </c>
      <c r="N21" s="81" t="n"/>
      <c r="O21" s="81" t="n"/>
      <c r="P21" s="54" t="inlineStr">
        <is>
          <t>DC14 WIS
3d6</t>
        </is>
      </c>
      <c r="Q21" s="81" t="n"/>
      <c r="R21" s="81" t="n"/>
      <c r="S21" s="54" t="inlineStr">
        <is>
          <t>Frightened Prone</t>
        </is>
      </c>
      <c r="T21" s="81" t="n"/>
      <c r="U21" s="56" t="inlineStr">
        <is>
          <t>Frightened 1r + Prone si falla x5. 1/combate. Clash Shared niega fear.</t>
        </is>
      </c>
      <c r="V21" s="81" t="n"/>
      <c r="W21" s="81" t="n"/>
      <c r="X21" s="81" t="n"/>
      <c r="Y21" s="81" t="n"/>
      <c r="Z21" s="81" t="n"/>
      <c r="AA21" s="81" t="n"/>
      <c r="AB21" s="81" t="n"/>
      <c r="AC21" s="81" t="n"/>
      <c r="AD21" s="81" t="n"/>
      <c r="AE21" s="81" t="n"/>
      <c r="AF21" s="81" t="n"/>
      <c r="AG21" s="81" t="n"/>
      <c r="AH21" s="56" t="inlineStr">
        <is>
          <t>Nova</t>
        </is>
      </c>
      <c r="AI21" s="81" t="n"/>
      <c r="AJ21" s="81" t="n"/>
      <c r="AK21" s="81" t="n"/>
      <c r="AL21" s="81" t="n"/>
      <c r="AM21" s="81" t="n"/>
      <c r="AN21" s="81" t="n"/>
      <c r="AO21" s="81" t="n"/>
      <c r="AP21" s="81" t="n"/>
      <c r="AQ21" s="81" t="n"/>
      <c r="AR21" s="81" t="n"/>
      <c r="AS21" s="57" t="n"/>
      <c r="AT21" s="57" t="n"/>
      <c r="AU21" s="57" t="n"/>
    </row>
    <row r="22">
      <c r="A22" s="36" t="inlineStr">
        <is>
          <t>Umbrella</t>
        </is>
      </c>
      <c r="E22" s="36" t="inlineStr">
        <is>
          <t>—</t>
        </is>
      </c>
      <c r="F22" s="36" t="inlineStr">
        <is>
          <t>Reacc</t>
        </is>
      </c>
      <c r="I22" s="36" t="inlineStr">
        <is>
          <t>Self</t>
        </is>
      </c>
      <c r="L22" s="36" t="inlineStr">
        <is>
          <t>Self</t>
        </is>
      </c>
      <c r="M22" s="36" t="inlineStr">
        <is>
          <t>Other</t>
        </is>
      </c>
      <c r="P22" s="36" t="inlineStr">
        <is>
          <t>+3 AC</t>
        </is>
      </c>
      <c r="S22" s="36" t="inlineStr">
        <is>
          <t>—</t>
        </is>
      </c>
      <c r="U22" s="38" t="inlineStr">
        <is>
          <t>+3 AC vs un ataque.</t>
        </is>
      </c>
      <c r="AH22" s="38" t="inlineStr">
        <is>
          <t>Defensive</t>
        </is>
      </c>
    </row>
    <row r="23">
      <c r="A23" s="63" t="inlineStr">
        <is>
          <t>Madre Furiosa (&lt;40HP)</t>
        </is>
      </c>
      <c r="B23" s="81" t="n"/>
      <c r="C23" s="81" t="n"/>
      <c r="D23" s="81" t="n"/>
      <c r="E23" s="60" t="inlineStr">
        <is>
          <t>—</t>
        </is>
      </c>
      <c r="F23" s="63" t="inlineStr">
        <is>
          <t>Pasiva</t>
        </is>
      </c>
      <c r="G23" s="81" t="n"/>
      <c r="H23" s="81" t="n"/>
      <c r="I23" s="63" t="inlineStr">
        <is>
          <t>Self</t>
        </is>
      </c>
      <c r="J23" s="81" t="n"/>
      <c r="K23" s="81" t="n"/>
      <c r="L23" s="63" t="inlineStr">
        <is>
          <t>Self</t>
        </is>
      </c>
      <c r="M23" s="63" t="inlineStr">
        <is>
          <t>Other</t>
        </is>
      </c>
      <c r="N23" s="81" t="n"/>
      <c r="O23" s="81" t="n"/>
      <c r="P23" s="63" t="inlineStr">
        <is>
          <t>—</t>
        </is>
      </c>
      <c r="Q23" s="81" t="n"/>
      <c r="R23" s="81" t="n"/>
      <c r="S23" s="63" t="inlineStr">
        <is>
          <t>—</t>
        </is>
      </c>
      <c r="T23" s="81" t="n"/>
      <c r="U23" s="62" t="inlineStr">
        <is>
          <t>Envuelve cada 2r. Sin charcos nuevos. Fase2 &lt;75HP +1 atk/turno no severable.</t>
        </is>
      </c>
      <c r="V23" s="81" t="n"/>
      <c r="W23" s="81" t="n"/>
      <c r="X23" s="81" t="n"/>
      <c r="Y23" s="81" t="n"/>
      <c r="Z23" s="81" t="n"/>
      <c r="AA23" s="81" t="n"/>
      <c r="AB23" s="81" t="n"/>
      <c r="AC23" s="81" t="n"/>
      <c r="AD23" s="81" t="n"/>
      <c r="AE23" s="81" t="n"/>
      <c r="AF23" s="81" t="n"/>
      <c r="AG23" s="81" t="n"/>
      <c r="AH23" s="63" t="inlineStr">
        <is>
          <t>Enrage</t>
        </is>
      </c>
      <c r="AI23" s="81" t="n"/>
      <c r="AJ23" s="81" t="n"/>
      <c r="AK23" s="81" t="n"/>
      <c r="AL23" s="81" t="n"/>
      <c r="AM23" s="81" t="n"/>
      <c r="AN23" s="81" t="n"/>
      <c r="AO23" s="81" t="n"/>
      <c r="AP23" s="81" t="n"/>
      <c r="AQ23" s="81" t="n"/>
      <c r="AR23" s="81" t="n"/>
      <c r="AS23" s="64" t="n"/>
      <c r="AT23" s="64" t="n"/>
      <c r="AU23" s="64" t="n"/>
    </row>
    <row r="24">
      <c r="A24" s="36" t="n"/>
      <c r="E24" s="36" t="n"/>
      <c r="F24" s="36" t="n"/>
      <c r="I24" s="36" t="n"/>
      <c r="L24" s="36" t="n"/>
      <c r="M24" s="36" t="n"/>
      <c r="P24" s="36" t="n"/>
      <c r="S24" s="36" t="n"/>
      <c r="U24" s="38" t="n"/>
      <c r="AH24" s="38" t="n"/>
    </row>
    <row r="25">
      <c r="A25" s="75" t="n"/>
      <c r="E25" s="75" t="n"/>
      <c r="F25" s="75" t="n"/>
      <c r="I25" s="75" t="n"/>
      <c r="L25" s="65" t="n"/>
      <c r="M25" s="75" t="n"/>
      <c r="P25" s="75" t="n"/>
      <c r="S25" s="75" t="n"/>
      <c r="U25" s="76" t="n"/>
      <c r="AH25" s="76" t="n"/>
    </row>
    <row r="26">
      <c r="A26" s="36" t="n"/>
      <c r="E26" s="36" t="n"/>
      <c r="F26" s="36" t="n"/>
      <c r="I26" s="36" t="n"/>
      <c r="L26" s="36" t="n"/>
      <c r="M26" s="36" t="n"/>
      <c r="P26" s="36" t="n"/>
      <c r="S26" s="36" t="n"/>
      <c r="U26" s="38" t="n"/>
      <c r="AH26" s="38" t="n"/>
    </row>
    <row r="27">
      <c r="A27" s="66" t="n"/>
      <c r="B27" s="82" t="n"/>
      <c r="C27" s="82" t="n"/>
      <c r="D27" s="82" t="n"/>
      <c r="E27" s="66" t="n"/>
      <c r="F27" s="66" t="n"/>
      <c r="G27" s="82" t="n"/>
      <c r="H27" s="82" t="n"/>
      <c r="I27" s="66" t="n"/>
      <c r="J27" s="82" t="n"/>
      <c r="K27" s="82" t="n"/>
      <c r="L27" s="66" t="n"/>
      <c r="M27" s="66" t="n"/>
      <c r="N27" s="82" t="n"/>
      <c r="O27" s="82" t="n"/>
      <c r="P27" s="66" t="n"/>
      <c r="Q27" s="82" t="n"/>
      <c r="R27" s="82" t="n"/>
      <c r="S27" s="66" t="n"/>
      <c r="T27" s="82" t="n"/>
      <c r="U27" s="69" t="n"/>
      <c r="V27" s="82" t="n"/>
      <c r="W27" s="82" t="n"/>
      <c r="X27" s="82" t="n"/>
      <c r="Y27" s="82" t="n"/>
      <c r="Z27" s="82" t="n"/>
      <c r="AA27" s="82" t="n"/>
      <c r="AB27" s="82" t="n"/>
      <c r="AC27" s="82" t="n"/>
      <c r="AD27" s="82" t="n"/>
      <c r="AE27" s="82" t="n"/>
      <c r="AF27" s="82" t="n"/>
      <c r="AG27" s="82" t="n"/>
      <c r="AH27" s="69" t="n"/>
      <c r="AI27" s="82" t="n"/>
      <c r="AJ27" s="82" t="n"/>
      <c r="AK27" s="82" t="n"/>
      <c r="AL27" s="82" t="n"/>
      <c r="AM27" s="82" t="n"/>
      <c r="AN27" s="82" t="n"/>
      <c r="AO27" s="82" t="n"/>
      <c r="AP27" s="82" t="n"/>
      <c r="AQ27" s="82" t="n"/>
      <c r="AR27" s="82" t="n"/>
      <c r="AS27" s="70" t="n"/>
      <c r="AT27" s="70" t="n"/>
      <c r="AU27" s="70" t="n"/>
    </row>
    <row r="28">
      <c r="A28" s="36" t="n"/>
      <c r="E28" s="36" t="n"/>
      <c r="F28" s="36" t="n"/>
      <c r="I28" s="36" t="n"/>
      <c r="L28" s="36" t="n"/>
      <c r="M28" s="36" t="n"/>
      <c r="P28" s="36" t="n"/>
      <c r="S28" s="36" t="n"/>
      <c r="U28" s="38" t="n"/>
      <c r="AH28" s="38" t="n"/>
    </row>
    <row r="29">
      <c r="A29" s="75" t="n"/>
      <c r="E29" s="75" t="n"/>
      <c r="F29" s="75" t="n"/>
      <c r="I29" s="75" t="n"/>
      <c r="L29" s="75" t="n"/>
      <c r="M29" s="75" t="n"/>
      <c r="P29" s="75" t="n"/>
      <c r="S29" s="75" t="n"/>
      <c r="U29" s="76" t="n"/>
      <c r="AH29" s="76" t="n"/>
    </row>
    <row r="30">
      <c r="A30" s="36" t="n"/>
      <c r="E30" s="36" t="n"/>
      <c r="F30" s="36" t="n"/>
      <c r="I30" s="36" t="n"/>
      <c r="L30" s="71" t="n"/>
      <c r="M30" s="36" t="n"/>
      <c r="P30" s="36" t="n"/>
      <c r="S30" s="38" t="n"/>
      <c r="U30" s="38" t="n"/>
      <c r="AH30" s="38" t="n"/>
    </row>
    <row r="31">
      <c r="A31" s="75" t="n"/>
      <c r="E31" s="75" t="n"/>
      <c r="F31" s="75" t="n"/>
      <c r="I31" s="75" t="n"/>
      <c r="L31" s="75" t="n"/>
      <c r="M31" s="75" t="n"/>
      <c r="P31" s="75" t="n"/>
      <c r="S31" s="76" t="n"/>
      <c r="U31" s="76" t="n"/>
      <c r="AH31" s="76" t="n"/>
    </row>
    <row r="32" ht="38.25" customHeight="1" s="77">
      <c r="A32" s="36" t="n"/>
      <c r="E32" s="36" t="n"/>
      <c r="F32" s="36" t="n"/>
      <c r="I32" s="36" t="n"/>
      <c r="L32" s="36" t="n"/>
      <c r="M32" s="36" t="n"/>
      <c r="P32" s="36" t="n"/>
      <c r="S32" s="36" t="n"/>
      <c r="U32" s="38" t="n"/>
      <c r="AH32" s="38" t="n"/>
    </row>
    <row r="33">
      <c r="A33" s="75" t="n"/>
      <c r="E33" s="75" t="n"/>
      <c r="F33" s="75" t="n"/>
      <c r="I33" s="75" t="n"/>
      <c r="L33" s="75" t="n"/>
      <c r="M33" s="75" t="n"/>
      <c r="P33" s="75" t="n"/>
      <c r="S33" s="75" t="n"/>
      <c r="U33" s="76" t="n"/>
      <c r="AH33" s="76" t="n"/>
    </row>
    <row r="34">
      <c r="A34" s="48" t="n"/>
      <c r="E34" s="46" t="n"/>
      <c r="F34" s="48" t="n"/>
      <c r="I34" s="48" t="n"/>
      <c r="L34" s="48" t="n"/>
      <c r="M34" s="48" t="n"/>
      <c r="P34" s="48" t="n"/>
      <c r="S34" s="48" t="n"/>
      <c r="U34" s="49" t="n"/>
      <c r="AH34" s="49" t="n"/>
      <c r="AS34" s="28" t="n"/>
      <c r="AT34" s="28" t="n"/>
      <c r="AU34" s="28" t="n"/>
    </row>
    <row r="35">
      <c r="A35" s="41" t="inlineStr">
        <is>
          <t>Lvl 3 Fear: DC14 WIS cono 30ft. Lvl 3 Slow: DC14 WIS cubo 40ft 1/dia Fase2.</t>
        </is>
      </c>
      <c r="B35" s="78" t="n"/>
      <c r="C35" s="78" t="n"/>
      <c r="D35" s="78" t="n"/>
      <c r="E35" s="43" t="inlineStr">
        <is>
          <t>Lvl 1 Bane: DC 17 CHA (3 obj, 30ft). Restan -1d4 a todos sus ataques y salvaciones. 
Lvl 1 Silvery Barbs: React (60ft). Cancela el éxito de un enemigo obligando a usar el dado bajo. 
Lvl 3 Slow: DC 17 WIS (Cubo 40ft). Mitad Vel., -2 CA, sin Reacciones, 1 solo ataque, eligen entre Acción o Bonus (no ambas). 
Lvl 3 Fear: DC 17 WIS (Cono 30ft). Sueltan armas, Desventaja en todo y huyen corriendo obligatoriamente. 
Lvl 3 Counterspell
Lvl 3 Hypnotic Pattern: DC 17 WIS (Cubo 30ft). Charm: Incapacitados (Vel. 0) hasta recibir daño o que alguien gaste su acción en despertarlos. 
Lvl 4 Confusion: DC 17 WIS (Radio 10ft). Tiran 1d10 y actúan al azar (caminar sin rumbo, no hacer nada, pegar al aliado, etc). 
Lvl 5 Synaptic Static: DC 17 INT (Radio 20ft). Daño psíquico y restan -1d6 a todos sus ataques y habilidades por 1 minuto. 
Lvl 5 Wall of Force: Sin tirada. Muro o cúpula física indestructible. Divide y aísla a los jugadores.</t>
        </is>
      </c>
      <c r="F35" s="78" t="n"/>
      <c r="G35" s="78" t="n"/>
      <c r="H35" s="78" t="n"/>
      <c r="I35" s="78" t="n"/>
      <c r="J35" s="78" t="n"/>
      <c r="K35" s="78" t="n"/>
      <c r="L35" s="78" t="n"/>
      <c r="M35" s="78" t="n"/>
      <c r="N35" s="78" t="n"/>
      <c r="O35" s="78" t="n"/>
      <c r="P35" s="78" t="n"/>
      <c r="Q35" s="78" t="n"/>
      <c r="R35" s="78" t="n"/>
      <c r="S35" s="78" t="n"/>
      <c r="T35" s="78" t="n"/>
      <c r="U35" s="78" t="n"/>
      <c r="V35" s="78" t="n"/>
      <c r="W35" s="78" t="n"/>
      <c r="X35" s="78" t="n"/>
      <c r="Y35" s="78" t="n"/>
      <c r="Z35" s="78" t="n"/>
      <c r="AA35" s="78" t="n"/>
      <c r="AB35" s="78" t="n"/>
      <c r="AC35" s="78" t="n"/>
      <c r="AD35" s="78" t="n"/>
      <c r="AE35" s="78" t="n"/>
      <c r="AF35" s="78" t="n"/>
      <c r="AG35" s="78" t="n"/>
      <c r="AH35" s="78" t="n"/>
      <c r="AI35" s="78" t="n"/>
      <c r="AJ35" s="78" t="n"/>
      <c r="AK35" s="78" t="n"/>
      <c r="AL35" s="78" t="n"/>
      <c r="AM35" s="78" t="n"/>
      <c r="AN35" s="78" t="n"/>
      <c r="AO35" s="78" t="n"/>
      <c r="AP35" s="78" t="n"/>
      <c r="AQ35" s="78" t="n"/>
      <c r="AR35" s="78" t="n"/>
    </row>
    <row r="36">
      <c r="A36" s="72" t="n"/>
      <c r="B36" s="82" t="n"/>
      <c r="C36" s="82" t="n"/>
      <c r="D36" s="82" t="n"/>
      <c r="E36" s="72" t="n"/>
      <c r="F36" s="72" t="n"/>
      <c r="G36" s="82" t="n"/>
      <c r="H36" s="82" t="n"/>
      <c r="I36" s="72" t="n"/>
      <c r="J36" s="82" t="n"/>
      <c r="K36" s="82" t="n"/>
      <c r="L36" s="72" t="n"/>
      <c r="M36" s="72" t="n"/>
      <c r="N36" s="82" t="n"/>
      <c r="O36" s="82" t="n"/>
      <c r="P36" s="72" t="n"/>
      <c r="Q36" s="82" t="n"/>
      <c r="R36" s="82" t="n"/>
      <c r="S36" s="72" t="n"/>
      <c r="T36" s="82" t="n"/>
      <c r="U36" s="74" t="n"/>
      <c r="V36" s="82" t="n"/>
      <c r="W36" s="82" t="n"/>
      <c r="X36" s="82" t="n"/>
      <c r="Y36" s="82" t="n"/>
      <c r="Z36" s="82" t="n"/>
      <c r="AA36" s="82" t="n"/>
      <c r="AB36" s="82" t="n"/>
      <c r="AC36" s="82" t="n"/>
      <c r="AD36" s="82" t="n"/>
      <c r="AE36" s="82" t="n"/>
      <c r="AF36" s="82" t="n"/>
      <c r="AG36" s="82" t="n"/>
      <c r="AH36" s="74" t="n"/>
      <c r="AI36" s="82" t="n"/>
      <c r="AJ36" s="82" t="n"/>
      <c r="AK36" s="82" t="n"/>
      <c r="AL36" s="82" t="n"/>
      <c r="AM36" s="82" t="n"/>
      <c r="AN36" s="82" t="n"/>
      <c r="AO36" s="82" t="n"/>
      <c r="AP36" s="82" t="n"/>
      <c r="AQ36" s="82" t="n"/>
      <c r="AR36" s="82" t="n"/>
      <c r="AS36" s="70" t="n"/>
      <c r="AT36" s="70" t="n"/>
      <c r="AU36" s="70" t="n"/>
    </row>
    <row r="37">
      <c r="A37" s="75" t="inlineStr">
        <is>
          <t>Loot: glandula +2 cocina DC13 res Poison 1h, seda cuerda 50ft, colmillo daga Cold.</t>
        </is>
      </c>
      <c r="B37" s="75" t="n"/>
      <c r="C37" s="75" t="n"/>
      <c r="D37" s="75" t="n"/>
      <c r="E37" s="75" t="n"/>
      <c r="F37" s="75" t="n"/>
      <c r="G37" s="75" t="n"/>
      <c r="H37" s="75" t="n"/>
      <c r="I37" s="75" t="n"/>
      <c r="J37" s="75" t="n"/>
      <c r="K37" s="75" t="n"/>
      <c r="L37" s="75" t="n"/>
      <c r="M37" s="75" t="n"/>
      <c r="N37" s="75" t="n"/>
      <c r="O37" s="75" t="n"/>
      <c r="P37" s="75" t="n"/>
      <c r="Q37" s="75" t="n"/>
      <c r="R37" s="75" t="n"/>
      <c r="S37" s="75" t="n"/>
      <c r="T37" s="75" t="n"/>
      <c r="U37" s="76"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c r="AO37" s="76" t="n"/>
      <c r="AP37" s="76" t="n"/>
      <c r="AQ37" s="76" t="n"/>
      <c r="AR37" s="76" t="n"/>
    </row>
  </sheetData>
  <mergeCells count="213">
    <mergeCell ref="I32:K32"/>
    <mergeCell ref="F36:H36"/>
    <mergeCell ref="F18:H18"/>
    <mergeCell ref="F33:H33"/>
    <mergeCell ref="S21:T21"/>
    <mergeCell ref="P27:R27"/>
    <mergeCell ref="P36:R36"/>
    <mergeCell ref="A20:D20"/>
    <mergeCell ref="A29:D29"/>
    <mergeCell ref="F17:H17"/>
    <mergeCell ref="P17:R17"/>
    <mergeCell ref="T6:AC6"/>
    <mergeCell ref="M12:O12"/>
    <mergeCell ref="U29:AG29"/>
    <mergeCell ref="A13:D13"/>
    <mergeCell ref="M21:O21"/>
    <mergeCell ref="Q6:S6"/>
    <mergeCell ref="I24:K24"/>
    <mergeCell ref="A31:D31"/>
    <mergeCell ref="F22:H22"/>
    <mergeCell ref="P19:R19"/>
    <mergeCell ref="F31:H31"/>
    <mergeCell ref="P28:R28"/>
    <mergeCell ref="U31:AG31"/>
    <mergeCell ref="A15:D15"/>
    <mergeCell ref="AH20:AR20"/>
    <mergeCell ref="I17:K17"/>
    <mergeCell ref="A24:D24"/>
    <mergeCell ref="P12:R12"/>
    <mergeCell ref="M24:O24"/>
    <mergeCell ref="P30:R30"/>
    <mergeCell ref="I10:K10"/>
    <mergeCell ref="S10:T10"/>
    <mergeCell ref="F14:H14"/>
    <mergeCell ref="S19:T19"/>
    <mergeCell ref="P14:R14"/>
    <mergeCell ref="I34:K34"/>
    <mergeCell ref="A16:D16"/>
    <mergeCell ref="U16:AG16"/>
    <mergeCell ref="S30:T30"/>
    <mergeCell ref="AH30:AR30"/>
    <mergeCell ref="U25:AG25"/>
    <mergeCell ref="A27:D27"/>
    <mergeCell ref="E35:AR35"/>
    <mergeCell ref="I36:K36"/>
    <mergeCell ref="S20:T20"/>
    <mergeCell ref="AH32:AR32"/>
    <mergeCell ref="F12:H12"/>
    <mergeCell ref="A33:D33"/>
    <mergeCell ref="F21:H21"/>
    <mergeCell ref="M20:O20"/>
    <mergeCell ref="S22:T22"/>
    <mergeCell ref="U28:AG28"/>
    <mergeCell ref="A17:D17"/>
    <mergeCell ref="Q5:S5"/>
    <mergeCell ref="A22:D22"/>
    <mergeCell ref="I22:K22"/>
    <mergeCell ref="I28:K28"/>
    <mergeCell ref="A35:D35"/>
    <mergeCell ref="S12:T12"/>
    <mergeCell ref="M22:O22"/>
    <mergeCell ref="M31:O31"/>
    <mergeCell ref="E11:AR11"/>
    <mergeCell ref="I12:K12"/>
    <mergeCell ref="A19:D19"/>
    <mergeCell ref="AH24:AR24"/>
    <mergeCell ref="I21:K21"/>
    <mergeCell ref="AH18:AR18"/>
    <mergeCell ref="AH33:AR33"/>
    <mergeCell ref="A28:D28"/>
    <mergeCell ref="M15:O15"/>
    <mergeCell ref="U20:AG20"/>
    <mergeCell ref="M28:O28"/>
    <mergeCell ref="P16:R16"/>
    <mergeCell ref="U14:AG14"/>
    <mergeCell ref="U23:AG23"/>
    <mergeCell ref="AH17:AR17"/>
    <mergeCell ref="I14:K14"/>
    <mergeCell ref="F27:H27"/>
    <mergeCell ref="I23:K23"/>
    <mergeCell ref="A30:D30"/>
    <mergeCell ref="F4:L4"/>
    <mergeCell ref="S23:T23"/>
    <mergeCell ref="P18:R18"/>
    <mergeCell ref="U22:AG22"/>
    <mergeCell ref="M26:O26"/>
    <mergeCell ref="AH10:AR10"/>
    <mergeCell ref="A11:D11"/>
    <mergeCell ref="S13:T13"/>
    <mergeCell ref="AH19:AR19"/>
    <mergeCell ref="M14:O14"/>
    <mergeCell ref="T5:AC5"/>
    <mergeCell ref="M29:O29"/>
    <mergeCell ref="U15:AG15"/>
    <mergeCell ref="M23:O23"/>
    <mergeCell ref="S15:T15"/>
    <mergeCell ref="S24:T24"/>
    <mergeCell ref="S33:T33"/>
    <mergeCell ref="Q7:S7"/>
    <mergeCell ref="F29:H29"/>
    <mergeCell ref="AH36:AR36"/>
    <mergeCell ref="P20:R20"/>
    <mergeCell ref="F25:H25"/>
    <mergeCell ref="P29:R29"/>
    <mergeCell ref="U32:AG32"/>
    <mergeCell ref="I27:K27"/>
    <mergeCell ref="A26:D26"/>
    <mergeCell ref="P22:R22"/>
    <mergeCell ref="P31:R31"/>
    <mergeCell ref="Q1:AC1"/>
    <mergeCell ref="F15:H15"/>
    <mergeCell ref="AH28:AR28"/>
    <mergeCell ref="F24:H24"/>
    <mergeCell ref="I25:K25"/>
    <mergeCell ref="P21:R21"/>
    <mergeCell ref="U24:AG24"/>
    <mergeCell ref="AH13:AR13"/>
    <mergeCell ref="U18:AG18"/>
    <mergeCell ref="U33:AG33"/>
    <mergeCell ref="AH21:AR21"/>
    <mergeCell ref="F32:H32"/>
    <mergeCell ref="T7:AC7"/>
    <mergeCell ref="F26:H26"/>
    <mergeCell ref="P23:R23"/>
    <mergeCell ref="M25:O25"/>
    <mergeCell ref="A10:D10"/>
    <mergeCell ref="M30:O30"/>
    <mergeCell ref="AH23:AR23"/>
    <mergeCell ref="F23:H23"/>
    <mergeCell ref="U10:AG10"/>
    <mergeCell ref="M33:O33"/>
    <mergeCell ref="U19:AG19"/>
    <mergeCell ref="F13:H13"/>
    <mergeCell ref="A34:D34"/>
    <mergeCell ref="M17:O17"/>
    <mergeCell ref="S14:T14"/>
    <mergeCell ref="S28:T28"/>
    <mergeCell ref="I20:K20"/>
    <mergeCell ref="I29:K29"/>
    <mergeCell ref="A36:D36"/>
    <mergeCell ref="M32:O32"/>
    <mergeCell ref="M19:O19"/>
    <mergeCell ref="P33:R33"/>
    <mergeCell ref="I13:K13"/>
    <mergeCell ref="AH34:AR34"/>
    <mergeCell ref="I31:K31"/>
    <mergeCell ref="I15:K15"/>
    <mergeCell ref="AH27:AR27"/>
    <mergeCell ref="F34:H34"/>
    <mergeCell ref="F16:H16"/>
    <mergeCell ref="P25:R25"/>
    <mergeCell ref="A12:D12"/>
    <mergeCell ref="A21:D21"/>
    <mergeCell ref="U13:AG13"/>
    <mergeCell ref="I26:K26"/>
    <mergeCell ref="S32:T32"/>
    <mergeCell ref="F30:H30"/>
    <mergeCell ref="S26:T26"/>
    <mergeCell ref="U21:AG21"/>
    <mergeCell ref="A32:D32"/>
    <mergeCell ref="A14:D14"/>
    <mergeCell ref="F20:H20"/>
    <mergeCell ref="I16:K16"/>
    <mergeCell ref="AH22:AR22"/>
    <mergeCell ref="A23:D23"/>
    <mergeCell ref="S16:T16"/>
    <mergeCell ref="M10:O10"/>
    <mergeCell ref="S25:T25"/>
    <mergeCell ref="AH25:AR25"/>
    <mergeCell ref="AH12:AR12"/>
    <mergeCell ref="M13:O13"/>
    <mergeCell ref="I18:K18"/>
    <mergeCell ref="M16:O16"/>
    <mergeCell ref="S18:T18"/>
    <mergeCell ref="S27:T27"/>
    <mergeCell ref="I33:K33"/>
    <mergeCell ref="AH14:AR14"/>
    <mergeCell ref="S17:T17"/>
    <mergeCell ref="M27:O27"/>
    <mergeCell ref="F28:H28"/>
    <mergeCell ref="P32:R32"/>
    <mergeCell ref="U26:AG26"/>
    <mergeCell ref="M36:O36"/>
    <mergeCell ref="M18:O18"/>
    <mergeCell ref="AH29:AR29"/>
    <mergeCell ref="P13:R13"/>
    <mergeCell ref="U34:AG34"/>
    <mergeCell ref="I19:K19"/>
    <mergeCell ref="AH31:AR31"/>
    <mergeCell ref="P15:R15"/>
    <mergeCell ref="S34:T34"/>
    <mergeCell ref="P24:R24"/>
    <mergeCell ref="U27:AG27"/>
    <mergeCell ref="AH15:AR15"/>
    <mergeCell ref="U36:AG36"/>
    <mergeCell ref="U30:AG30"/>
    <mergeCell ref="A25:D25"/>
    <mergeCell ref="U17:AG17"/>
    <mergeCell ref="M34:O34"/>
    <mergeCell ref="I30:K30"/>
    <mergeCell ref="S36:T36"/>
    <mergeCell ref="P26:R26"/>
    <mergeCell ref="F10:H10"/>
    <mergeCell ref="A18:D18"/>
    <mergeCell ref="F19:H19"/>
    <mergeCell ref="AH26:AR26"/>
    <mergeCell ref="P10:R10"/>
    <mergeCell ref="S29:T29"/>
    <mergeCell ref="F2:O2"/>
    <mergeCell ref="AH16:AR16"/>
    <mergeCell ref="P34:R34"/>
    <mergeCell ref="U12:AG12"/>
    <mergeCell ref="S31:T31"/>
  </mergeCells>
  <printOptions horizontalCentered="1" gridLines="1"/>
  <pageMargins left="0.7" right="0.7" top="0.75" bottom="0.75" header="0" footer="0"/>
  <pageSetup orientation="landscape" paperSize="9" fitToHeight="0" pageOrder="overThenDown" cellComments="atEnd"/>
</worksheet>
</file>

<file path=xl/worksheets/sheet5.xml><?xml version="1.0" encoding="utf-8"?>
<worksheet xmlns="http://schemas.openxmlformats.org/spreadsheetml/2006/main">
  <sheetPr>
    <outlinePr summaryBelow="0" summaryRight="0"/>
    <pageSetUpPr fitToPage="1"/>
  </sheetPr>
  <dimension ref="A1:AU37"/>
  <sheetViews>
    <sheetView workbookViewId="0">
      <selection activeCell="A1" sqref="A1"/>
    </sheetView>
  </sheetViews>
  <sheetFormatPr baseColWidth="8" defaultColWidth="12.63" defaultRowHeight="15.75" customHeight="1"/>
  <cols>
    <col width="6.25" customWidth="1" style="77" min="1" max="1"/>
    <col width="7.63" customWidth="1" style="77" min="2" max="2"/>
    <col width="5.75" customWidth="1" style="77" min="3" max="3"/>
    <col width="6.38" customWidth="1" style="77" min="4" max="4"/>
    <col width="6.5" customWidth="1" style="77" min="5" max="5"/>
    <col width="4.5" customWidth="1" style="77" min="6" max="16"/>
    <col width="4.75" customWidth="1" style="77" min="17" max="17"/>
    <col width="4.25" customWidth="1" style="77" min="18" max="18"/>
    <col width="4.88" customWidth="1" style="77" min="19" max="19"/>
    <col width="4.5" customWidth="1" style="77" min="20" max="32"/>
    <col width="6.75" customWidth="1" style="77" min="33" max="33"/>
    <col width="4.5" customWidth="1" style="77" min="34" max="47"/>
  </cols>
  <sheetData>
    <row r="1">
      <c r="A1" s="1" t="inlineStr">
        <is>
          <t xml:space="preserve">PS </t>
        </is>
      </c>
      <c r="B1" s="2" t="n">
        <v>225</v>
      </c>
      <c r="C1" s="2" t="n">
        <v>225</v>
      </c>
      <c r="D1" s="3">
        <f>B1/C1</f>
        <v/>
      </c>
      <c r="E1" s="28" t="n"/>
      <c r="F1" s="6">
        <f>C1*0.1</f>
        <v/>
      </c>
      <c r="G1" s="6">
        <f>C1*0.2</f>
        <v/>
      </c>
      <c r="H1" s="6">
        <f>C1*0.3</f>
        <v/>
      </c>
      <c r="I1" s="6">
        <f>C1*0.4</f>
        <v/>
      </c>
      <c r="J1" s="6">
        <f>C1*0.5</f>
        <v/>
      </c>
      <c r="K1" s="6">
        <f>C1*0.6</f>
        <v/>
      </c>
      <c r="L1" s="6">
        <f>C1*0.7</f>
        <v/>
      </c>
      <c r="M1" s="6">
        <f>C1*0.8</f>
        <v/>
      </c>
      <c r="N1" s="6">
        <f>C1*0.9</f>
        <v/>
      </c>
      <c r="O1" s="6">
        <f>C1</f>
        <v/>
      </c>
      <c r="P1" s="28" t="n"/>
      <c r="Q1" s="16" t="inlineStr">
        <is>
          <t>RESISTANCES</t>
        </is>
      </c>
      <c r="R1" s="78" t="n"/>
      <c r="S1" s="78" t="n"/>
      <c r="T1" s="78" t="n"/>
      <c r="U1" s="78" t="n"/>
      <c r="V1" s="78" t="n"/>
      <c r="W1" s="78" t="n"/>
      <c r="X1" s="78" t="n"/>
      <c r="Y1" s="78" t="n"/>
      <c r="Z1" s="78" t="n"/>
      <c r="AA1" s="78" t="n"/>
      <c r="AB1" s="78" t="n"/>
      <c r="AC1" s="79" t="n"/>
      <c r="AD1" s="28" t="n"/>
      <c r="AE1" s="28" t="n"/>
      <c r="AF1" s="28" t="n"/>
      <c r="AG1" s="11" t="n"/>
      <c r="AH1" s="28" t="n"/>
      <c r="AI1" s="28" t="n"/>
      <c r="AJ1" s="28" t="n"/>
      <c r="AK1" s="28" t="n"/>
      <c r="AL1" s="28" t="n"/>
      <c r="AM1" s="28" t="n"/>
      <c r="AN1" s="28" t="n"/>
      <c r="AO1" s="28" t="n"/>
      <c r="AP1" s="28" t="n"/>
      <c r="AQ1" s="28" t="n"/>
      <c r="AR1" s="28" t="n"/>
      <c r="AS1" s="28" t="n"/>
      <c r="AT1" s="28" t="n"/>
      <c r="AU1" s="28" t="n"/>
    </row>
    <row r="2" ht="17.25" customHeight="1" s="77">
      <c r="A2" s="28" t="n"/>
      <c r="B2" s="28" t="n"/>
      <c r="C2" s="28" t="n"/>
      <c r="D2" s="28" t="n"/>
      <c r="E2" s="28" t="n"/>
      <c r="F2" s="12" t="inlineStr">
        <is>
          <t>Barra de PS</t>
        </is>
      </c>
      <c r="P2" s="28" t="n"/>
      <c r="Q2" s="13" t="inlineStr">
        <is>
          <t>Slash</t>
        </is>
      </c>
      <c r="R2" s="14" t="inlineStr">
        <is>
          <t>Pier</t>
        </is>
      </c>
      <c r="S2" s="13" t="inlineStr">
        <is>
          <t>Bludg</t>
        </is>
      </c>
      <c r="T2" s="14" t="inlineStr">
        <is>
          <t>Fire</t>
        </is>
      </c>
      <c r="U2" s="13" t="inlineStr">
        <is>
          <t>Cold</t>
        </is>
      </c>
      <c r="V2" s="14" t="inlineStr">
        <is>
          <t>Light</t>
        </is>
      </c>
      <c r="W2" s="13" t="inlineStr">
        <is>
          <t>Thun</t>
        </is>
      </c>
      <c r="X2" s="14" t="inlineStr">
        <is>
          <t>Pois</t>
        </is>
      </c>
      <c r="Y2" s="14" t="inlineStr">
        <is>
          <t>Acid</t>
        </is>
      </c>
      <c r="Z2" s="14" t="inlineStr">
        <is>
          <t>Rad</t>
        </is>
      </c>
      <c r="AA2" s="14" t="inlineStr">
        <is>
          <t>Nec</t>
        </is>
      </c>
      <c r="AB2" s="14" t="inlineStr">
        <is>
          <t>Psi</t>
        </is>
      </c>
      <c r="AC2" s="29" t="inlineStr">
        <is>
          <t>Forc</t>
        </is>
      </c>
      <c r="AD2" s="28" t="n"/>
      <c r="AE2" s="28" t="n"/>
      <c r="AF2" s="28" t="n"/>
      <c r="AG2" s="28" t="n"/>
      <c r="AH2" s="28" t="n"/>
      <c r="AI2" s="28" t="n"/>
      <c r="AJ2" s="28" t="n"/>
      <c r="AK2" s="28" t="n"/>
      <c r="AL2" s="28" t="n"/>
      <c r="AM2" s="28" t="n"/>
      <c r="AN2" s="28" t="n"/>
      <c r="AO2" s="28" t="n"/>
      <c r="AP2" s="28" t="n"/>
      <c r="AQ2" s="28" t="n"/>
      <c r="AR2" s="28" t="n"/>
      <c r="AS2" s="28" t="n"/>
      <c r="AT2" s="28" t="n"/>
      <c r="AU2" s="28" t="n"/>
    </row>
    <row r="3" ht="16.5" customHeight="1" s="77">
      <c r="A3" s="16" t="inlineStr">
        <is>
          <t>Speed</t>
        </is>
      </c>
      <c r="B3" s="21" t="inlineStr">
        <is>
          <t>Initiative</t>
        </is>
      </c>
      <c r="C3" s="21" t="inlineStr">
        <is>
          <t>SSDC</t>
        </is>
      </c>
      <c r="D3" s="21" t="inlineStr">
        <is>
          <t>AC</t>
        </is>
      </c>
      <c r="E3" s="28" t="n"/>
      <c r="F3" s="28" t="n"/>
      <c r="G3" s="28" t="n"/>
      <c r="H3" s="28" t="n"/>
      <c r="I3" s="28" t="n"/>
      <c r="J3" s="28" t="n"/>
      <c r="K3" s="28" t="n"/>
      <c r="L3" s="28" t="n"/>
      <c r="M3" s="28" t="n"/>
      <c r="N3" s="28" t="n"/>
      <c r="O3" s="28" t="n"/>
      <c r="P3" s="28" t="n"/>
      <c r="Q3" s="33" t="n"/>
      <c r="R3" s="32" t="n"/>
      <c r="S3" s="33" t="n"/>
      <c r="T3" s="32" t="n"/>
      <c r="U3" s="33" t="inlineStr">
        <is>
          <t>R</t>
        </is>
      </c>
      <c r="V3" s="32" t="n"/>
      <c r="W3" s="33" t="n"/>
      <c r="X3" s="32" t="inlineStr">
        <is>
          <t>Imm</t>
        </is>
      </c>
      <c r="Y3" s="32" t="n"/>
      <c r="Z3" s="32" t="n"/>
      <c r="AA3" s="32" t="inlineStr">
        <is>
          <t>R</t>
        </is>
      </c>
      <c r="AB3" s="32" t="n"/>
      <c r="AC3" s="32" t="n"/>
      <c r="AD3" s="28" t="n"/>
      <c r="AE3" s="28" t="n"/>
      <c r="AF3" s="28" t="n"/>
      <c r="AG3" s="20" t="n"/>
      <c r="AH3" s="20" t="n"/>
      <c r="AI3" s="20" t="n"/>
      <c r="AJ3" s="20" t="n"/>
      <c r="AK3" s="20" t="n"/>
      <c r="AL3" s="28" t="n"/>
      <c r="AM3" s="28" t="n"/>
      <c r="AN3" s="28" t="n"/>
      <c r="AO3" s="28" t="n"/>
      <c r="AP3" s="28" t="n"/>
      <c r="AQ3" s="28" t="n"/>
      <c r="AR3" s="28" t="n"/>
      <c r="AS3" s="28" t="n"/>
      <c r="AT3" s="28" t="n"/>
      <c r="AU3" s="28" t="n"/>
    </row>
    <row r="4">
      <c r="A4" s="21" t="inlineStr">
        <is>
          <t>6 - 30ft + vuelo corto</t>
        </is>
      </c>
      <c r="B4" s="25" t="n"/>
      <c r="C4" s="25" t="n">
        <v>15</v>
      </c>
      <c r="D4" s="25" t="n">
        <v>16</v>
      </c>
      <c r="F4" s="80" t="inlineStr">
        <is>
          <t>STATS</t>
        </is>
      </c>
      <c r="G4" s="78" t="n"/>
      <c r="H4" s="78" t="n"/>
      <c r="I4" s="78" t="n"/>
      <c r="J4" s="78" t="n"/>
      <c r="K4" s="78" t="n"/>
      <c r="L4" s="79" t="n"/>
      <c r="M4" s="24" t="n"/>
      <c r="N4" s="24" t="inlineStr">
        <is>
          <t>—</t>
        </is>
      </c>
      <c r="O4" s="24" t="n"/>
      <c r="P4" s="28" t="n"/>
      <c r="Q4" s="28" t="n"/>
      <c r="R4" s="28" t="n"/>
      <c r="S4" s="28" t="n"/>
      <c r="T4" s="28" t="n"/>
      <c r="U4" s="28" t="n"/>
      <c r="V4" s="28" t="n"/>
      <c r="W4" s="28" t="n"/>
      <c r="X4" s="28" t="n"/>
      <c r="Y4" s="28" t="n"/>
      <c r="Z4" s="28" t="n"/>
      <c r="AA4" s="28" t="n"/>
      <c r="AB4" s="28" t="n"/>
      <c r="AC4" s="28" t="n"/>
      <c r="AD4" s="28" t="n"/>
      <c r="AE4" s="28" t="n"/>
      <c r="AF4" s="28" t="n"/>
      <c r="AG4" s="28" t="n"/>
      <c r="AH4" s="28" t="n"/>
      <c r="AI4" s="28" t="n"/>
      <c r="AJ4" s="28" t="n"/>
      <c r="AK4" s="28" t="n"/>
      <c r="AL4" s="28" t="n"/>
      <c r="AM4" s="28" t="n"/>
      <c r="AN4" s="28" t="n"/>
      <c r="AO4" s="28" t="n"/>
      <c r="AP4" s="28" t="n"/>
      <c r="AQ4" s="28" t="n"/>
      <c r="AR4" s="28" t="n"/>
      <c r="AS4" s="28" t="n"/>
      <c r="AT4" s="28" t="n"/>
      <c r="AU4" s="28" t="n"/>
    </row>
    <row r="5">
      <c r="C5" s="27" t="inlineStr"/>
      <c r="D5" s="27" t="inlineStr"/>
      <c r="F5" s="25" t="n"/>
      <c r="G5" s="25" t="inlineStr">
        <is>
          <t>CON</t>
        </is>
      </c>
      <c r="H5" s="25" t="inlineStr">
        <is>
          <t>STR</t>
        </is>
      </c>
      <c r="I5" s="25" t="inlineStr">
        <is>
          <t>DEX</t>
        </is>
      </c>
      <c r="J5" s="25" t="inlineStr">
        <is>
          <t>WIS</t>
        </is>
      </c>
      <c r="K5" s="25" t="inlineStr">
        <is>
          <t>INT</t>
        </is>
      </c>
      <c r="L5" s="25" t="inlineStr">
        <is>
          <t>CAR</t>
        </is>
      </c>
      <c r="P5" s="28" t="n"/>
      <c r="Q5" s="26" t="inlineStr">
        <is>
          <t>IMMUNITIES</t>
        </is>
      </c>
      <c r="T5" s="28" t="inlineStr">
        <is>
          <t>Poisoned, Charm, Frightened</t>
        </is>
      </c>
      <c r="AD5" s="28" t="n"/>
      <c r="AE5" s="28" t="n"/>
      <c r="AF5" s="28" t="n"/>
      <c r="AG5" s="28" t="n"/>
      <c r="AH5" s="28" t="n"/>
      <c r="AI5" s="28" t="n"/>
      <c r="AJ5" s="28" t="n"/>
      <c r="AK5" s="28" t="n"/>
      <c r="AL5" s="28" t="n"/>
      <c r="AM5" s="28" t="n"/>
      <c r="AN5" s="28" t="n"/>
      <c r="AO5" s="28" t="n"/>
      <c r="AP5" s="28" t="n"/>
      <c r="AQ5" s="28" t="n"/>
      <c r="AR5" s="28" t="n"/>
      <c r="AS5" s="28" t="n"/>
      <c r="AT5" s="28" t="n"/>
      <c r="AU5" s="28" t="n"/>
    </row>
    <row r="6">
      <c r="A6" s="25" t="inlineStr">
        <is>
          <t>Entropy</t>
        </is>
      </c>
      <c r="B6" s="25" t="n"/>
      <c r="D6" s="25" t="inlineStr">
        <is>
          <t>MartDC</t>
        </is>
      </c>
      <c r="F6" s="25" t="inlineStr">
        <is>
          <t>Plus</t>
        </is>
      </c>
      <c r="G6" s="25" t="n">
        <v>4</v>
      </c>
      <c r="H6" s="25" t="n">
        <v>2</v>
      </c>
      <c r="I6" s="25" t="n">
        <v>4</v>
      </c>
      <c r="J6" s="25" t="n">
        <v>3</v>
      </c>
      <c r="K6" s="25" t="n">
        <v>1</v>
      </c>
      <c r="L6" s="25" t="n">
        <v>4</v>
      </c>
      <c r="N6" s="27" t="n"/>
      <c r="P6" s="28" t="n"/>
      <c r="Q6" s="26" t="inlineStr">
        <is>
          <t>SENSES</t>
        </is>
      </c>
      <c r="T6" s="28" t="inlineStr">
        <is>
          <t>Normal</t>
        </is>
      </c>
      <c r="AD6" s="28" t="n"/>
      <c r="AE6" s="28" t="n"/>
      <c r="AF6" s="28" t="n"/>
      <c r="AG6" s="28" t="n"/>
      <c r="AH6" s="28" t="n"/>
      <c r="AI6" s="28" t="n"/>
      <c r="AJ6" s="28" t="n"/>
      <c r="AK6" s="28" t="n"/>
      <c r="AL6" s="28" t="n"/>
      <c r="AM6" s="28" t="n"/>
      <c r="AN6" s="28" t="n"/>
      <c r="AO6" s="28" t="n"/>
      <c r="AP6" s="28" t="n"/>
      <c r="AQ6" s="28" t="n"/>
      <c r="AR6" s="28" t="n"/>
      <c r="AS6" s="28" t="n"/>
      <c r="AT6" s="28" t="n"/>
      <c r="AU6" s="28" t="n"/>
    </row>
    <row r="7">
      <c r="A7" s="25" t="n">
        <v>0</v>
      </c>
      <c r="B7" s="25" t="n"/>
      <c r="D7" s="25" t="n">
        <v>14</v>
      </c>
      <c r="E7" s="27" t="inlineStr"/>
      <c r="F7" s="25" t="inlineStr">
        <is>
          <t>Save</t>
        </is>
      </c>
      <c r="G7" s="25" t="n">
        <v>7</v>
      </c>
      <c r="H7" s="25" t="n">
        <v>2</v>
      </c>
      <c r="I7" s="25" t="n">
        <v>6</v>
      </c>
      <c r="J7" s="25" t="n">
        <v>3</v>
      </c>
      <c r="K7" s="25" t="n">
        <v>5</v>
      </c>
      <c r="L7" s="25" t="n">
        <v>6</v>
      </c>
      <c r="P7" s="28" t="n"/>
      <c r="Q7" s="26" t="inlineStr">
        <is>
          <t>LANGUAGES</t>
        </is>
      </c>
      <c r="T7" s="28" t="inlineStr">
        <is>
          <t>—</t>
        </is>
      </c>
      <c r="AD7" s="28" t="n"/>
      <c r="AE7" s="28" t="n"/>
      <c r="AF7" s="28" t="n"/>
      <c r="AG7" s="28" t="n"/>
      <c r="AH7" s="28" t="n"/>
      <c r="AI7" s="28" t="n"/>
      <c r="AJ7" s="28" t="n"/>
      <c r="AK7" s="28" t="n"/>
      <c r="AL7" s="28" t="n"/>
      <c r="AM7" s="28" t="n"/>
      <c r="AN7" s="28" t="n"/>
      <c r="AO7" s="28" t="n"/>
      <c r="AP7" s="28" t="n"/>
      <c r="AQ7" s="28" t="n"/>
      <c r="AR7" s="28" t="n"/>
      <c r="AS7" s="28" t="n"/>
      <c r="AT7" s="28" t="n"/>
      <c r="AU7" s="28" t="n"/>
    </row>
    <row r="8">
      <c r="P8" s="28" t="n"/>
      <c r="Q8" s="28" t="n"/>
      <c r="R8" s="28" t="n"/>
      <c r="S8" s="28" t="n"/>
      <c r="T8" s="28" t="n"/>
      <c r="U8" s="28" t="n"/>
      <c r="V8" s="28" t="n"/>
      <c r="W8" s="28" t="n"/>
      <c r="X8" s="28" t="n"/>
      <c r="Y8" s="28" t="n"/>
      <c r="Z8" s="28" t="n"/>
      <c r="AA8" s="28" t="n"/>
      <c r="AB8" s="28" t="n"/>
      <c r="AC8" s="28" t="n"/>
      <c r="AD8" s="28" t="n"/>
      <c r="AE8" s="28" t="n"/>
      <c r="AF8" s="28" t="n"/>
      <c r="AG8" s="28" t="n"/>
      <c r="AH8" s="28" t="n"/>
      <c r="AI8" s="28" t="n"/>
      <c r="AJ8" s="28" t="n"/>
      <c r="AK8" s="28" t="n"/>
      <c r="AL8" s="28" t="n"/>
      <c r="AM8" s="28" t="n"/>
      <c r="AN8" s="28" t="n"/>
      <c r="AO8" s="28" t="n"/>
      <c r="AP8" s="28" t="n"/>
      <c r="AQ8" s="28" t="n"/>
      <c r="AR8" s="28" t="n"/>
      <c r="AS8" s="28" t="n"/>
      <c r="AT8" s="28" t="n"/>
      <c r="AU8" s="28" t="n"/>
    </row>
    <row r="10">
      <c r="A10" s="30" t="inlineStr">
        <is>
          <t>Ataque</t>
        </is>
      </c>
      <c r="E10" s="30" t="inlineStr">
        <is>
          <t>Entropy</t>
        </is>
      </c>
      <c r="F10" s="30" t="inlineStr">
        <is>
          <t>Action</t>
        </is>
      </c>
      <c r="I10" s="30" t="inlineStr">
        <is>
          <t>Forma</t>
        </is>
      </c>
      <c r="L10" s="30" t="inlineStr">
        <is>
          <t>Range</t>
        </is>
      </c>
      <c r="M10" s="30" t="inlineStr">
        <is>
          <t>Type</t>
        </is>
      </c>
      <c r="P10" s="30" t="inlineStr">
        <is>
          <t>Damage</t>
        </is>
      </c>
      <c r="S10" s="30" t="inlineStr">
        <is>
          <t>Status</t>
        </is>
      </c>
      <c r="U10" s="40" t="inlineStr">
        <is>
          <t>Descripcion</t>
        </is>
      </c>
      <c r="AH10" s="30" t="inlineStr">
        <is>
          <t>Flavour</t>
        </is>
      </c>
    </row>
    <row r="11" ht="171.75" customHeight="1" s="77">
      <c r="A11" s="41" t="inlineStr">
        <is>
          <t>Traits</t>
        </is>
      </c>
      <c r="B11" s="78" t="n"/>
      <c r="C11" s="78" t="n"/>
      <c r="D11" s="78" t="n"/>
      <c r="E11" s="43" t="inlineStr">
        <is>
          <t>Remnant. Improved Deadly. Adaptive. Afflicter. Improved Combo. Momentum. Moral Breaker. Legend. Last Stand. Merciful. Defender. Hidden Nat20. Loop: VINCULO cada 2r + DANZA cada 3r (2r Fase2) + NOVA 1 vez a 110HP interrumpible.</t>
        </is>
      </c>
      <c r="F11" s="78" t="n"/>
      <c r="G11" s="78" t="n"/>
      <c r="H11" s="78" t="n"/>
      <c r="I11" s="78" t="n"/>
      <c r="J11" s="78" t="n"/>
      <c r="K11" s="78" t="n"/>
      <c r="L11" s="78" t="n"/>
      <c r="M11" s="78" t="n"/>
      <c r="N11" s="78" t="n"/>
      <c r="O11" s="78" t="n"/>
      <c r="P11" s="78" t="n"/>
      <c r="Q11" s="78" t="n"/>
      <c r="R11" s="78" t="n"/>
      <c r="S11" s="78" t="n"/>
      <c r="T11" s="78" t="n"/>
      <c r="U11" s="78" t="n"/>
      <c r="V11" s="78" t="n"/>
      <c r="W11" s="78" t="n"/>
      <c r="X11" s="78" t="n"/>
      <c r="Y11" s="78" t="n"/>
      <c r="Z11" s="78" t="n"/>
      <c r="AA11" s="78" t="n"/>
      <c r="AB11" s="78" t="n"/>
      <c r="AC11" s="78" t="n"/>
      <c r="AD11" s="78" t="n"/>
      <c r="AE11" s="78" t="n"/>
      <c r="AF11" s="78" t="n"/>
      <c r="AG11" s="78" t="n"/>
      <c r="AH11" s="78" t="n"/>
      <c r="AI11" s="78" t="n"/>
      <c r="AJ11" s="78" t="n"/>
      <c r="AK11" s="78" t="n"/>
      <c r="AL11" s="78" t="n"/>
      <c r="AM11" s="78" t="n"/>
      <c r="AN11" s="78" t="n"/>
      <c r="AO11" s="78" t="n"/>
      <c r="AP11" s="78" t="n"/>
      <c r="AQ11" s="78" t="n"/>
      <c r="AR11" s="78" t="n"/>
    </row>
    <row r="12" ht="137.25" customHeight="1" s="77">
      <c r="A12" s="36" t="inlineStr">
        <is>
          <t>Ultimo Vuelo (Last Stand)</t>
        </is>
      </c>
      <c r="E12" s="36" t="inlineStr">
        <is>
          <t>—</t>
        </is>
      </c>
      <c r="F12" s="36" t="inlineStr">
        <is>
          <t>Pasiva</t>
        </is>
      </c>
      <c r="I12" s="36" t="inlineStr">
        <is>
          <t>Single</t>
        </is>
      </c>
      <c r="L12" s="36" t="n">
        <v>1</v>
      </c>
      <c r="M12" s="36" t="inlineStr">
        <is>
          <t>Other</t>
        </is>
      </c>
      <c r="P12" s="36" t="inlineStr">
        <is>
          <t>—</t>
        </is>
      </c>
      <c r="S12" s="36" t="inlineStr">
        <is>
          <t>Prone</t>
        </is>
      </c>
      <c r="U12" s="38" t="inlineStr">
        <is>
          <t>Letal: cura 40 Prone ala rota + DC15 CON 3d10 Cold 30ft/mitad 60ft. 2r sin morir = se rinde captura viva +1 pto. Gate Nat20.</t>
        </is>
      </c>
      <c r="AH12" s="38" t="inlineStr">
        <is>
          <t>Legend</t>
        </is>
      </c>
    </row>
    <row r="13">
      <c r="A13" s="75" t="inlineStr">
        <is>
          <t>Alas Tormenta (Componente)</t>
        </is>
      </c>
      <c r="E13" s="75" t="inlineStr">
        <is>
          <t>—</t>
        </is>
      </c>
      <c r="F13" s="75" t="inlineStr">
        <is>
          <t>Pasiva</t>
        </is>
      </c>
      <c r="I13" s="75" t="inlineStr">
        <is>
          <t>Self</t>
        </is>
      </c>
      <c r="L13" s="75" t="inlineStr">
        <is>
          <t>Self</t>
        </is>
      </c>
      <c r="M13" s="75" t="inlineStr">
        <is>
          <t>Other</t>
        </is>
      </c>
      <c r="P13" t="inlineStr">
        <is>
          <t>—</t>
        </is>
      </c>
      <c r="S13" s="75" t="inlineStr">
        <is>
          <t>Prone</t>
        </is>
      </c>
      <c r="U13" s="76" t="inlineStr">
        <is>
          <t>Sever DC15 vs DEX: 25 dmg + pierde vuelo/res Cold + Prone.</t>
        </is>
      </c>
      <c r="AH13" s="76" t="inlineStr">
        <is>
          <t>Component</t>
        </is>
      </c>
    </row>
    <row r="14">
      <c r="A14" s="48" t="inlineStr">
        <is>
          <t>Saco Corona (Componente)</t>
        </is>
      </c>
      <c r="E14" s="46" t="inlineStr">
        <is>
          <t>—</t>
        </is>
      </c>
      <c r="F14" s="48" t="inlineStr">
        <is>
          <t>Pasiva</t>
        </is>
      </c>
      <c r="I14" s="48" t="inlineStr">
        <is>
          <t>Self</t>
        </is>
      </c>
      <c r="L14" s="48" t="inlineStr">
        <is>
          <t>Self</t>
        </is>
      </c>
      <c r="M14" s="48" t="inlineStr">
        <is>
          <t>Other</t>
        </is>
      </c>
      <c r="P14" s="48" t="inlineStr">
        <is>
          <t>—</t>
        </is>
      </c>
      <c r="S14" s="48" t="inlineStr">
        <is>
          <t>—</t>
        </is>
      </c>
      <c r="U14" s="49" t="inlineStr">
        <is>
          <t>Sever DC15 vs STR: 30 dmg + pierde Nova.</t>
        </is>
      </c>
      <c r="AH14" s="48" t="inlineStr">
        <is>
          <t>Component</t>
        </is>
      </c>
      <c r="AS14" s="28" t="n"/>
      <c r="AT14" s="28" t="n"/>
      <c r="AU14" s="28" t="n"/>
    </row>
    <row r="15">
      <c r="A15" s="75" t="inlineStr">
        <is>
          <t>VINCULO VOLT spread</t>
        </is>
      </c>
      <c r="E15" s="75" t="inlineStr">
        <is>
          <t>—</t>
        </is>
      </c>
      <c r="F15" s="75" t="inlineStr">
        <is>
          <t>Pasiva</t>
        </is>
      </c>
      <c r="I15" s="75" t="inlineStr">
        <is>
          <t>Single</t>
        </is>
      </c>
      <c r="L15" s="75" t="n">
        <v>6</v>
      </c>
      <c r="M15" s="75" t="inlineStr">
        <is>
          <t>Lightning</t>
        </is>
      </c>
      <c r="P15" t="inlineStr">
        <is>
          <t>—</t>
        </is>
      </c>
      <c r="S15" s="75" t="inlineStr">
        <is>
          <t>Stunned</t>
        </is>
      </c>
      <c r="U15" s="76" t="inlineStr">
        <is>
          <t>Cada 2r enlaza 2 a 30ft. Fin siguiente &lt;20ft entre si: 3d6 ambos + Stun DC15. Separados = nada + ella -10HP.</t>
        </is>
      </c>
      <c r="AH15" s="76" t="inlineStr">
        <is>
          <t>Telegraphed</t>
        </is>
      </c>
    </row>
    <row r="16">
      <c r="A16" s="36" t="inlineStr">
        <is>
          <t>DANZA CUCHILLAS Onyxia</t>
        </is>
      </c>
      <c r="E16" s="36" t="inlineStr">
        <is>
          <t>—</t>
        </is>
      </c>
      <c r="F16" s="36" t="inlineStr">
        <is>
          <t>Pasiva</t>
        </is>
      </c>
      <c r="I16" s="36" t="inlineStr">
        <is>
          <t>Circle</t>
        </is>
      </c>
      <c r="L16" s="36" t="n">
        <v>4</v>
      </c>
      <c r="M16" s="36" t="inlineStr">
        <is>
          <t>Slash</t>
        </is>
      </c>
      <c r="P16" s="36" t="inlineStr">
        <is>
          <t>HIT +7
3d8</t>
        </is>
      </c>
      <c r="S16" s="36" t="inlineStr">
        <is>
          <t>Bleed 4/2</t>
        </is>
      </c>
      <c r="U16" s="38" t="inlineStr">
        <is>
          <t>Cada 3r marca espiral. Siguiente +7 a descubiertos. Tras roca/borde mitad sin bleed.</t>
        </is>
      </c>
      <c r="AH16" s="38" t="inlineStr">
        <is>
          <t>Telegraphed</t>
        </is>
      </c>
    </row>
    <row r="17">
      <c r="A17" s="75" t="inlineStr">
        <is>
          <t>NOVA CANALIZADA Ragnaros</t>
        </is>
      </c>
      <c r="E17" s="75" t="inlineStr">
        <is>
          <t>—</t>
        </is>
      </c>
      <c r="F17" s="75" t="inlineStr">
        <is>
          <t>AP</t>
        </is>
      </c>
      <c r="I17" s="75" t="inlineStr">
        <is>
          <t>Circle</t>
        </is>
      </c>
      <c r="L17" s="75" t="inlineStr">
        <is>
          <t>12 (60ft)</t>
        </is>
      </c>
      <c r="M17" s="75" t="inlineStr">
        <is>
          <t>Fire</t>
        </is>
      </c>
      <c r="P17" t="inlineStr">
        <is>
          <t>DC15 DEX
8d6</t>
        </is>
      </c>
      <c r="S17" s="75" t="inlineStr">
        <is>
          <t>Burn 8 Prone</t>
        </is>
      </c>
      <c r="U17" s="76" t="inlineStr">
        <is>
          <t>A 110HP 1 vez canaliza 1r. Si 20+ dmg + Clash/Prone/Stun: cancela + Prone 2r + Vulnerable. Si no: 8d6 + Prone. Clash Grim.</t>
        </is>
      </c>
      <c r="AH17" s="76" t="inlineStr">
        <is>
          <t>Nova</t>
        </is>
      </c>
    </row>
    <row r="18">
      <c r="A18" s="50" t="inlineStr">
        <is>
          <t>Cobalt Thrust</t>
        </is>
      </c>
      <c r="E18" s="51" t="inlineStr">
        <is>
          <t>—</t>
        </is>
      </c>
      <c r="F18" s="48" t="inlineStr">
        <is>
          <t>AP</t>
        </is>
      </c>
      <c r="I18" s="48" t="inlineStr">
        <is>
          <t>Single</t>
        </is>
      </c>
      <c r="L18" s="48" t="n">
        <v>1</v>
      </c>
      <c r="M18" s="48" t="inlineStr">
        <is>
          <t>Piercing</t>
        </is>
      </c>
      <c r="P18" s="48" t="inlineStr">
        <is>
          <t>HIT +7
2d8+4</t>
        </is>
      </c>
      <c r="S18" s="48" t="inlineStr">
        <is>
          <t>Bleed 4/2</t>
        </is>
      </c>
      <c r="U18" s="49" t="inlineStr">
        <is>
          <t>Speed -10ft. Sangra no quema.</t>
        </is>
      </c>
      <c r="AH18" s="48" t="inlineStr">
        <is>
          <t>Melee Attack</t>
        </is>
      </c>
      <c r="AS18" s="28" t="n"/>
      <c r="AT18" s="28" t="n"/>
      <c r="AU18" s="28" t="n"/>
    </row>
    <row r="19">
      <c r="A19" s="54" t="inlineStr">
        <is>
          <t>Cryogenic Drops</t>
        </is>
      </c>
      <c r="B19" s="81" t="n"/>
      <c r="C19" s="81" t="n"/>
      <c r="D19" s="81" t="n"/>
      <c r="E19" s="54" t="inlineStr">
        <is>
          <t>—</t>
        </is>
      </c>
      <c r="F19" s="54" t="inlineStr">
        <is>
          <t>AP</t>
        </is>
      </c>
      <c r="G19" s="81" t="n"/>
      <c r="H19" s="81" t="n"/>
      <c r="I19" s="54" t="inlineStr">
        <is>
          <t>Single</t>
        </is>
      </c>
      <c r="J19" s="81" t="n"/>
      <c r="K19" s="81" t="n"/>
      <c r="L19" s="54" t="inlineStr">
        <is>
          <t>12 (60ft)</t>
        </is>
      </c>
      <c r="M19" s="54" t="inlineStr">
        <is>
          <t>Cold</t>
        </is>
      </c>
      <c r="N19" s="81" t="n"/>
      <c r="O19" s="81" t="n"/>
      <c r="P19" s="54" t="inlineStr">
        <is>
          <t>HIT +7
2d10+5</t>
        </is>
      </c>
      <c r="Q19" s="81" t="n"/>
      <c r="R19" s="81" t="n"/>
      <c r="S19" s="54" t="inlineStr">
        <is>
          <t>SLOWED</t>
        </is>
      </c>
      <c r="T19" s="81" t="n"/>
      <c r="U19" s="56" t="inlineStr">
        <is>
          <t>Speed -10ft.</t>
        </is>
      </c>
      <c r="V19" s="81" t="n"/>
      <c r="W19" s="81" t="n"/>
      <c r="X19" s="81" t="n"/>
      <c r="Y19" s="81" t="n"/>
      <c r="Z19" s="81" t="n"/>
      <c r="AA19" s="81" t="n"/>
      <c r="AB19" s="81" t="n"/>
      <c r="AC19" s="81" t="n"/>
      <c r="AD19" s="81" t="n"/>
      <c r="AE19" s="81" t="n"/>
      <c r="AF19" s="81" t="n"/>
      <c r="AG19" s="81" t="n"/>
      <c r="AH19" s="56" t="inlineStr">
        <is>
          <t>Ranged Attack</t>
        </is>
      </c>
      <c r="AI19" s="81" t="n"/>
      <c r="AJ19" s="81" t="n"/>
      <c r="AK19" s="81" t="n"/>
      <c r="AL19" s="81" t="n"/>
      <c r="AM19" s="81" t="n"/>
      <c r="AN19" s="81" t="n"/>
      <c r="AO19" s="81" t="n"/>
      <c r="AP19" s="81" t="n"/>
      <c r="AQ19" s="81" t="n"/>
      <c r="AR19" s="81" t="n"/>
      <c r="AS19" s="57" t="n"/>
      <c r="AT19" s="57" t="n"/>
      <c r="AU19" s="57" t="n"/>
    </row>
    <row r="20">
      <c r="A20" s="36" t="inlineStr">
        <is>
          <t>Flash Freeze</t>
        </is>
      </c>
      <c r="E20" s="58" t="inlineStr">
        <is>
          <t>—</t>
        </is>
      </c>
      <c r="F20" s="36" t="inlineStr">
        <is>
          <t>AP</t>
        </is>
      </c>
      <c r="I20" s="36" t="inlineStr">
        <is>
          <t>Single</t>
        </is>
      </c>
      <c r="L20" s="36" t="n">
        <v>1</v>
      </c>
      <c r="M20" s="36" t="inlineStr">
        <is>
          <t>Cold</t>
        </is>
      </c>
      <c r="P20" t="inlineStr">
        <is>
          <t>DC15 CON
3d4+8</t>
        </is>
      </c>
      <c r="S20" s="36" t="inlineStr">
        <is>
          <t>Vulnerable Fire</t>
        </is>
      </c>
      <c r="U20" s="38" t="inlineStr">
        <is>
          <t>Vulnerable Fire. Exito mitad.</t>
        </is>
      </c>
      <c r="AH20" s="38" t="inlineStr">
        <is>
          <t>Setup</t>
        </is>
      </c>
    </row>
    <row r="21">
      <c r="A21" s="54" t="inlineStr">
        <is>
          <t>Flare (unico Burn)</t>
        </is>
      </c>
      <c r="B21" s="81" t="n"/>
      <c r="C21" s="81" t="n"/>
      <c r="D21" s="81" t="n"/>
      <c r="E21" s="54" t="inlineStr">
        <is>
          <t>—</t>
        </is>
      </c>
      <c r="F21" s="54" t="inlineStr">
        <is>
          <t>AP</t>
        </is>
      </c>
      <c r="G21" s="81" t="n"/>
      <c r="H21" s="81" t="n"/>
      <c r="I21" s="54" t="inlineStr">
        <is>
          <t>Cone</t>
        </is>
      </c>
      <c r="J21" s="81" t="n"/>
      <c r="K21" s="81" t="n"/>
      <c r="L21" s="54" t="inlineStr">
        <is>
          <t>3 (15ft)</t>
        </is>
      </c>
      <c r="M21" s="54" t="inlineStr">
        <is>
          <t>Fire</t>
        </is>
      </c>
      <c r="N21" s="81" t="n"/>
      <c r="O21" s="81" t="n"/>
      <c r="P21" s="54" t="inlineStr">
        <is>
          <t>DC15 DEX
4d6</t>
        </is>
      </c>
      <c r="Q21" s="81" t="n"/>
      <c r="R21" s="81" t="n"/>
      <c r="S21" s="54" t="inlineStr">
        <is>
          <t>Burn 6</t>
        </is>
      </c>
      <c r="T21" s="81" t="n"/>
      <c r="U21" s="56" t="inlineStr">
        <is>
          <t>2/combate. +1d6 si vulnerable.</t>
        </is>
      </c>
      <c r="V21" s="81" t="n"/>
      <c r="W21" s="81" t="n"/>
      <c r="X21" s="81" t="n"/>
      <c r="Y21" s="81" t="n"/>
      <c r="Z21" s="81" t="n"/>
      <c r="AA21" s="81" t="n"/>
      <c r="AB21" s="81" t="n"/>
      <c r="AC21" s="81" t="n"/>
      <c r="AD21" s="81" t="n"/>
      <c r="AE21" s="81" t="n"/>
      <c r="AF21" s="81" t="n"/>
      <c r="AG21" s="81" t="n"/>
      <c r="AH21" s="56" t="inlineStr">
        <is>
          <t>Area attack</t>
        </is>
      </c>
      <c r="AI21" s="81" t="n"/>
      <c r="AJ21" s="81" t="n"/>
      <c r="AK21" s="81" t="n"/>
      <c r="AL21" s="81" t="n"/>
      <c r="AM21" s="81" t="n"/>
      <c r="AN21" s="81" t="n"/>
      <c r="AO21" s="81" t="n"/>
      <c r="AP21" s="81" t="n"/>
      <c r="AQ21" s="81" t="n"/>
      <c r="AR21" s="81" t="n"/>
      <c r="AS21" s="57" t="n"/>
      <c r="AT21" s="57" t="n"/>
      <c r="AU21" s="57" t="n"/>
    </row>
    <row r="22">
      <c r="A22" s="36" t="inlineStr">
        <is>
          <t>Thermal Lance</t>
        </is>
      </c>
      <c r="E22" s="36" t="inlineStr">
        <is>
          <t>—</t>
        </is>
      </c>
      <c r="F22" s="36" t="inlineStr">
        <is>
          <t>AP</t>
        </is>
      </c>
      <c r="I22" s="36" t="inlineStr">
        <is>
          <t>Single</t>
        </is>
      </c>
      <c r="L22" s="36" t="inlineStr">
        <is>
          <t>12 (60ft)</t>
        </is>
      </c>
      <c r="M22" s="36" t="inlineStr">
        <is>
          <t>Piercing</t>
        </is>
      </c>
      <c r="P22" s="36" t="inlineStr">
        <is>
          <t>HIT +7
3d8+3+2d6 Lightning</t>
        </is>
      </c>
      <c r="S22" s="36" t="inlineStr">
        <is>
          <t>Bleed 3/2</t>
        </is>
      </c>
      <c r="U22" s="38" t="inlineStr">
        <is>
          <t>+Burn4 solo si vulnerable Fire. Recarga 2.</t>
        </is>
      </c>
      <c r="AH22" s="38" t="inlineStr">
        <is>
          <t>Ranged Attack</t>
        </is>
      </c>
    </row>
    <row r="23">
      <c r="A23" s="63" t="inlineStr">
        <is>
          <t>Volt Grab</t>
        </is>
      </c>
      <c r="B23" s="81" t="n"/>
      <c r="C23" s="81" t="n"/>
      <c r="D23" s="81" t="n"/>
      <c r="E23" s="60" t="inlineStr">
        <is>
          <t>—</t>
        </is>
      </c>
      <c r="F23" s="63" t="inlineStr">
        <is>
          <t>AP</t>
        </is>
      </c>
      <c r="G23" s="81" t="n"/>
      <c r="H23" s="81" t="n"/>
      <c r="I23" s="63" t="inlineStr">
        <is>
          <t>Single</t>
        </is>
      </c>
      <c r="J23" s="81" t="n"/>
      <c r="K23" s="81" t="n"/>
      <c r="L23" s="63" t="n">
        <v>1</v>
      </c>
      <c r="M23" s="63" t="inlineStr">
        <is>
          <t>Lightning</t>
        </is>
      </c>
      <c r="N23" s="81" t="n"/>
      <c r="O23" s="81" t="n"/>
      <c r="P23" s="63" t="inlineStr">
        <is>
          <t>DC15 CON
2d6</t>
        </is>
      </c>
      <c r="Q23" s="81" t="n"/>
      <c r="R23" s="81" t="n"/>
      <c r="S23" s="63" t="inlineStr">
        <is>
          <t>Stunned</t>
        </is>
      </c>
      <c r="T23" s="81" t="n"/>
      <c r="U23" s="62" t="inlineStr">
        <is>
          <t>Stun 1r 1/combate. Exito mitad solo Slowed.</t>
        </is>
      </c>
      <c r="V23" s="81" t="n"/>
      <c r="W23" s="81" t="n"/>
      <c r="X23" s="81" t="n"/>
      <c r="Y23" s="81" t="n"/>
      <c r="Z23" s="81" t="n"/>
      <c r="AA23" s="81" t="n"/>
      <c r="AB23" s="81" t="n"/>
      <c r="AC23" s="81" t="n"/>
      <c r="AD23" s="81" t="n"/>
      <c r="AE23" s="81" t="n"/>
      <c r="AF23" s="81" t="n"/>
      <c r="AG23" s="81" t="n"/>
      <c r="AH23" s="63" t="inlineStr">
        <is>
          <t>Control</t>
        </is>
      </c>
      <c r="AI23" s="81" t="n"/>
      <c r="AJ23" s="81" t="n"/>
      <c r="AK23" s="81" t="n"/>
      <c r="AL23" s="81" t="n"/>
      <c r="AM23" s="81" t="n"/>
      <c r="AN23" s="81" t="n"/>
      <c r="AO23" s="81" t="n"/>
      <c r="AP23" s="81" t="n"/>
      <c r="AQ23" s="81" t="n"/>
      <c r="AR23" s="81" t="n"/>
      <c r="AS23" s="64" t="n"/>
      <c r="AT23" s="64" t="n"/>
      <c r="AU23" s="64" t="n"/>
    </row>
    <row r="24">
      <c r="A24" s="36" t="inlineStr">
        <is>
          <t>Razor Rain</t>
        </is>
      </c>
      <c r="E24" s="36" t="inlineStr">
        <is>
          <t>—</t>
        </is>
      </c>
      <c r="F24" s="36" t="inlineStr">
        <is>
          <t>AS</t>
        </is>
      </c>
      <c r="I24" s="36" t="inlineStr">
        <is>
          <t>Circle</t>
        </is>
      </c>
      <c r="L24" s="36" t="n">
        <v>4</v>
      </c>
      <c r="M24" s="36" t="inlineStr">
        <is>
          <t>Slash</t>
        </is>
      </c>
      <c r="P24" s="36" t="inlineStr">
        <is>
          <t>—</t>
        </is>
      </c>
      <c r="S24" s="36" t="inlineStr">
        <is>
          <t>Bleed 3/1</t>
        </is>
      </c>
      <c r="U24" s="38" t="inlineStr">
        <is>
          <t>Zona 1min entrar/terminar 1d8 + Bleed. Con Flare +1d6 Fire.</t>
        </is>
      </c>
      <c r="AH24" s="38" t="inlineStr">
        <is>
          <t>Damaging terrain</t>
        </is>
      </c>
    </row>
    <row r="25">
      <c r="A25" s="75" t="inlineStr">
        <is>
          <t>Abrasive Edge</t>
        </is>
      </c>
      <c r="E25" s="75" t="inlineStr">
        <is>
          <t>—</t>
        </is>
      </c>
      <c r="F25" s="75" t="inlineStr">
        <is>
          <t>AS</t>
        </is>
      </c>
      <c r="I25" s="75" t="inlineStr">
        <is>
          <t>Single</t>
        </is>
      </c>
      <c r="L25" s="65" t="n">
        <v>1</v>
      </c>
      <c r="M25" s="75" t="inlineStr">
        <is>
          <t>Slash</t>
        </is>
      </c>
      <c r="P25" s="75" t="inlineStr">
        <is>
          <t>HIT +7
1d8</t>
        </is>
      </c>
      <c r="S25" s="75" t="inlineStr">
        <is>
          <t>Bleed 5/2</t>
        </is>
      </c>
      <c r="U25" s="76" t="inlineStr">
        <is>
          <t>Proximo +1d8. Sangra no quema.</t>
        </is>
      </c>
      <c r="AH25" s="76" t="inlineStr">
        <is>
          <t>Empowered Attack</t>
        </is>
      </c>
    </row>
    <row r="26">
      <c r="A26" s="36" t="inlineStr">
        <is>
          <t>Umbrella</t>
        </is>
      </c>
      <c r="E26" s="36" t="inlineStr">
        <is>
          <t>—</t>
        </is>
      </c>
      <c r="F26" s="36" t="inlineStr">
        <is>
          <t>Reacc</t>
        </is>
      </c>
      <c r="I26" s="36" t="inlineStr">
        <is>
          <t>Self</t>
        </is>
      </c>
      <c r="L26" s="36" t="inlineStr">
        <is>
          <t>Self</t>
        </is>
      </c>
      <c r="M26" s="36" t="inlineStr">
        <is>
          <t>Other</t>
        </is>
      </c>
      <c r="P26" s="36" t="inlineStr">
        <is>
          <t>+3 AC</t>
        </is>
      </c>
      <c r="S26" s="36" t="inlineStr">
        <is>
          <t>—</t>
        </is>
      </c>
      <c r="U26" s="38" t="inlineStr">
        <is>
          <t>+3 AC vs ataque.</t>
        </is>
      </c>
      <c r="AH26" s="38" t="inlineStr">
        <is>
          <t>Defensive</t>
        </is>
      </c>
    </row>
    <row r="27">
      <c r="A27" s="66" t="inlineStr">
        <is>
          <t>Fase 2 Aire (&lt;110HP)</t>
        </is>
      </c>
      <c r="B27" s="82" t="n"/>
      <c r="C27" s="82" t="n"/>
      <c r="D27" s="82" t="n"/>
      <c r="E27" s="66" t="inlineStr">
        <is>
          <t>—</t>
        </is>
      </c>
      <c r="F27" s="66" t="inlineStr">
        <is>
          <t>Pasiva</t>
        </is>
      </c>
      <c r="G27" s="82" t="n"/>
      <c r="H27" s="82" t="n"/>
      <c r="I27" s="66" t="inlineStr">
        <is>
          <t>Self</t>
        </is>
      </c>
      <c r="J27" s="82" t="n"/>
      <c r="K27" s="82" t="n"/>
      <c r="L27" s="66" t="inlineStr">
        <is>
          <t>Self</t>
        </is>
      </c>
      <c r="M27" s="66" t="inlineStr">
        <is>
          <t>Other</t>
        </is>
      </c>
      <c r="N27" s="82" t="n"/>
      <c r="O27" s="82" t="n"/>
      <c r="P27" s="66" t="inlineStr">
        <is>
          <t>—</t>
        </is>
      </c>
      <c r="Q27" s="82" t="n"/>
      <c r="R27" s="82" t="n"/>
      <c r="S27" s="66" t="inlineStr">
        <is>
          <t>—</t>
        </is>
      </c>
      <c r="T27" s="82" t="n"/>
      <c r="U27" s="69" t="inlineStr">
        <is>
          <t>+1 atk/turno, Danza cada 2r, no severable.</t>
        </is>
      </c>
      <c r="V27" s="82" t="n"/>
      <c r="W27" s="82" t="n"/>
      <c r="X27" s="82" t="n"/>
      <c r="Y27" s="82" t="n"/>
      <c r="Z27" s="82" t="n"/>
      <c r="AA27" s="82" t="n"/>
      <c r="AB27" s="82" t="n"/>
      <c r="AC27" s="82" t="n"/>
      <c r="AD27" s="82" t="n"/>
      <c r="AE27" s="82" t="n"/>
      <c r="AF27" s="82" t="n"/>
      <c r="AG27" s="82" t="n"/>
      <c r="AH27" s="69" t="inlineStr">
        <is>
          <t>Enrage</t>
        </is>
      </c>
      <c r="AI27" s="82" t="n"/>
      <c r="AJ27" s="82" t="n"/>
      <c r="AK27" s="82" t="n"/>
      <c r="AL27" s="82" t="n"/>
      <c r="AM27" s="82" t="n"/>
      <c r="AN27" s="82" t="n"/>
      <c r="AO27" s="82" t="n"/>
      <c r="AP27" s="82" t="n"/>
      <c r="AQ27" s="82" t="n"/>
      <c r="AR27" s="82" t="n"/>
      <c r="AS27" s="70" t="n"/>
      <c r="AT27" s="70" t="n"/>
      <c r="AU27" s="70" t="n"/>
    </row>
    <row r="28">
      <c r="A28" s="36" t="n"/>
      <c r="E28" s="36" t="n"/>
      <c r="F28" s="36" t="n"/>
      <c r="I28" s="36" t="n"/>
      <c r="L28" s="36" t="n"/>
      <c r="M28" s="36" t="n"/>
      <c r="P28" s="36" t="n"/>
      <c r="S28" s="36" t="n"/>
      <c r="U28" s="38" t="n"/>
      <c r="AH28" s="38" t="n"/>
    </row>
    <row r="29">
      <c r="A29" s="75" t="n"/>
      <c r="E29" s="75" t="n"/>
      <c r="F29" s="75" t="n"/>
      <c r="I29" s="75" t="n"/>
      <c r="L29" s="75" t="n"/>
      <c r="M29" s="75" t="n"/>
      <c r="P29" s="75" t="n"/>
      <c r="S29" s="75" t="n"/>
      <c r="U29" s="76" t="n"/>
      <c r="AH29" s="76" t="n"/>
    </row>
    <row r="30">
      <c r="A30" s="36" t="n"/>
      <c r="E30" s="36" t="n"/>
      <c r="F30" s="36" t="n"/>
      <c r="I30" s="36" t="n"/>
      <c r="L30" s="71" t="n"/>
      <c r="M30" s="36" t="n"/>
      <c r="P30" s="36" t="n"/>
      <c r="S30" s="38" t="n"/>
      <c r="U30" s="38" t="n"/>
      <c r="AH30" s="38" t="n"/>
    </row>
    <row r="31">
      <c r="A31" s="75" t="n"/>
      <c r="E31" s="75" t="n"/>
      <c r="F31" s="75" t="n"/>
      <c r="I31" s="75" t="n"/>
      <c r="L31" s="75" t="n"/>
      <c r="M31" s="75" t="n"/>
      <c r="P31" s="75" t="n"/>
      <c r="S31" s="76" t="n"/>
      <c r="U31" s="76" t="n"/>
      <c r="AH31" s="76" t="n"/>
    </row>
    <row r="32" ht="38.25" customHeight="1" s="77">
      <c r="A32" s="36" t="n"/>
      <c r="E32" s="36" t="n"/>
      <c r="F32" s="36" t="n"/>
      <c r="I32" s="36" t="n"/>
      <c r="L32" s="36" t="n"/>
      <c r="M32" s="36" t="n"/>
      <c r="P32" s="36" t="n"/>
      <c r="S32" s="36" t="n"/>
      <c r="U32" s="38" t="n"/>
      <c r="AH32" s="38" t="n"/>
    </row>
    <row r="33">
      <c r="A33" s="75" t="n"/>
      <c r="E33" s="75" t="n"/>
      <c r="F33" s="75" t="n"/>
      <c r="I33" s="75" t="n"/>
      <c r="L33" s="75" t="n"/>
      <c r="M33" s="75" t="n"/>
      <c r="P33" s="75" t="n"/>
      <c r="S33" s="75" t="n"/>
      <c r="U33" s="76" t="n"/>
      <c r="AH33" s="76" t="n"/>
    </row>
    <row r="34">
      <c r="A34" s="48" t="n"/>
      <c r="E34" s="46" t="n"/>
      <c r="F34" s="48" t="n"/>
      <c r="I34" s="48" t="n"/>
      <c r="L34" s="48" t="n"/>
      <c r="M34" s="48" t="n"/>
      <c r="P34" s="48" t="n"/>
      <c r="S34" s="48" t="n"/>
      <c r="U34" s="49" t="n"/>
      <c r="AH34" s="49" t="n"/>
      <c r="AS34" s="28" t="n"/>
      <c r="AT34" s="28" t="n"/>
      <c r="AU34" s="28" t="n"/>
    </row>
    <row r="35">
      <c r="A35" s="41" t="inlineStr">
        <is>
          <t>Lvl 1 Bane: DC15 CHA 3obj -1d4. Lvl 3 Slow cubo 40ft. Lvl 3 Fear cono 30ft.</t>
        </is>
      </c>
      <c r="B35" s="78" t="n"/>
      <c r="C35" s="78" t="n"/>
      <c r="D35" s="78" t="n"/>
      <c r="E35" s="43" t="inlineStr">
        <is>
          <t>Lvl 1 Bane: DC 17 CHA (3 obj, 30ft). Restan -1d4 a todos sus ataques y salvaciones. 
Lvl 1 Silvery Barbs: React (60ft). Cancela el éxito de un enemigo obligando a usar el dado bajo. 
Lvl 3 Slow: DC 17 WIS (Cubo 40ft). Mitad Vel., -2 CA, sin Reacciones, 1 solo ataque, eligen entre Acción o Bonus (no ambas). 
Lvl 3 Fear: DC 17 WIS (Cono 30ft). Sueltan armas, Desventaja en todo y huyen corriendo obligatoriamente. 
Lvl 3 Counterspell
Lvl 3 Hypnotic Pattern: DC 17 WIS (Cubo 30ft). Charm: Incapacitados (Vel. 0) hasta recibir daño o que alguien gaste su acción en despertarlos. 
Lvl 4 Confusion: DC 17 WIS (Radio 10ft). Tiran 1d10 y actúan al azar (caminar sin rumbo, no hacer nada, pegar al aliado, etc). 
Lvl 5 Synaptic Static: DC 17 INT (Radio 20ft). Daño psíquico y restan -1d6 a todos sus ataques y habilidades por 1 minuto. 
Lvl 5 Wall of Force: Sin tirada. Muro o cúpula física indestructible. Divide y aísla a los jugadores.</t>
        </is>
      </c>
      <c r="F35" s="78" t="n"/>
      <c r="G35" s="78" t="n"/>
      <c r="H35" s="78" t="n"/>
      <c r="I35" s="78" t="n"/>
      <c r="J35" s="78" t="n"/>
      <c r="K35" s="78" t="n"/>
      <c r="L35" s="78" t="n"/>
      <c r="M35" s="78" t="n"/>
      <c r="N35" s="78" t="n"/>
      <c r="O35" s="78" t="n"/>
      <c r="P35" s="78" t="n"/>
      <c r="Q35" s="78" t="n"/>
      <c r="R35" s="78" t="n"/>
      <c r="S35" s="78" t="n"/>
      <c r="T35" s="78" t="n"/>
      <c r="U35" s="78" t="n"/>
      <c r="V35" s="78" t="n"/>
      <c r="W35" s="78" t="n"/>
      <c r="X35" s="78" t="n"/>
      <c r="Y35" s="78" t="n"/>
      <c r="Z35" s="78" t="n"/>
      <c r="AA35" s="78" t="n"/>
      <c r="AB35" s="78" t="n"/>
      <c r="AC35" s="78" t="n"/>
      <c r="AD35" s="78" t="n"/>
      <c r="AE35" s="78" t="n"/>
      <c r="AF35" s="78" t="n"/>
      <c r="AG35" s="78" t="n"/>
      <c r="AH35" s="78" t="n"/>
      <c r="AI35" s="78" t="n"/>
      <c r="AJ35" s="78" t="n"/>
      <c r="AK35" s="78" t="n"/>
      <c r="AL35" s="78" t="n"/>
      <c r="AM35" s="78" t="n"/>
      <c r="AN35" s="78" t="n"/>
      <c r="AO35" s="78" t="n"/>
      <c r="AP35" s="78" t="n"/>
      <c r="AQ35" s="78" t="n"/>
      <c r="AR35" s="78" t="n"/>
    </row>
    <row r="36">
      <c r="A36" s="72" t="n"/>
      <c r="B36" s="82" t="n"/>
      <c r="C36" s="82" t="n"/>
      <c r="D36" s="82" t="n"/>
      <c r="E36" s="72" t="n"/>
      <c r="F36" s="72" t="n"/>
      <c r="G36" s="82" t="n"/>
      <c r="H36" s="82" t="n"/>
      <c r="I36" s="72" t="n"/>
      <c r="J36" s="82" t="n"/>
      <c r="K36" s="82" t="n"/>
      <c r="L36" s="72" t="n"/>
      <c r="M36" s="72" t="n"/>
      <c r="N36" s="82" t="n"/>
      <c r="O36" s="82" t="n"/>
      <c r="P36" s="72" t="n"/>
      <c r="Q36" s="82" t="n"/>
      <c r="R36" s="82" t="n"/>
      <c r="S36" s="72" t="n"/>
      <c r="T36" s="82" t="n"/>
      <c r="U36" s="74" t="n"/>
      <c r="V36" s="82" t="n"/>
      <c r="W36" s="82" t="n"/>
      <c r="X36" s="82" t="n"/>
      <c r="Y36" s="82" t="n"/>
      <c r="Z36" s="82" t="n"/>
      <c r="AA36" s="82" t="n"/>
      <c r="AB36" s="82" t="n"/>
      <c r="AC36" s="82" t="n"/>
      <c r="AD36" s="82" t="n"/>
      <c r="AE36" s="82" t="n"/>
      <c r="AF36" s="82" t="n"/>
      <c r="AG36" s="82" t="n"/>
      <c r="AH36" s="74" t="n"/>
      <c r="AI36" s="82" t="n"/>
      <c r="AJ36" s="82" t="n"/>
      <c r="AK36" s="82" t="n"/>
      <c r="AL36" s="82" t="n"/>
      <c r="AM36" s="82" t="n"/>
      <c r="AN36" s="82" t="n"/>
      <c r="AO36" s="82" t="n"/>
      <c r="AP36" s="82" t="n"/>
      <c r="AQ36" s="82" t="n"/>
      <c r="AR36" s="82" t="n"/>
      <c r="AS36" s="70" t="n"/>
      <c r="AT36" s="70" t="n"/>
      <c r="AU36" s="70" t="n"/>
    </row>
    <row r="37">
      <c r="A37" s="75" t="inlineStr">
        <is>
          <t>Loot: nucleo auto-win 15+, alas escudo +1 vs Cold, cuchillas 1d6+1d4 Lightning crit Bleed.</t>
        </is>
      </c>
      <c r="B37" s="75" t="n"/>
      <c r="C37" s="75" t="n"/>
      <c r="D37" s="75" t="n"/>
      <c r="E37" s="75" t="n"/>
      <c r="F37" s="75" t="n"/>
      <c r="G37" s="75" t="n"/>
      <c r="H37" s="75" t="n"/>
      <c r="I37" s="75" t="n"/>
      <c r="J37" s="75" t="n"/>
      <c r="K37" s="75" t="n"/>
      <c r="L37" s="75" t="n"/>
      <c r="M37" s="75" t="n"/>
      <c r="N37" s="75" t="n"/>
      <c r="O37" s="75" t="n"/>
      <c r="P37" s="75" t="n"/>
      <c r="Q37" s="75" t="n"/>
      <c r="R37" s="75" t="n"/>
      <c r="S37" s="75" t="n"/>
      <c r="T37" s="75" t="n"/>
      <c r="U37" s="76"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c r="AO37" s="76" t="n"/>
      <c r="AP37" s="76" t="n"/>
      <c r="AQ37" s="76" t="n"/>
      <c r="AR37" s="76" t="n"/>
    </row>
  </sheetData>
  <mergeCells count="213">
    <mergeCell ref="I32:K32"/>
    <mergeCell ref="F36:H36"/>
    <mergeCell ref="F18:H18"/>
    <mergeCell ref="F33:H33"/>
    <mergeCell ref="S21:T21"/>
    <mergeCell ref="P27:R27"/>
    <mergeCell ref="P36:R36"/>
    <mergeCell ref="A20:D20"/>
    <mergeCell ref="A29:D29"/>
    <mergeCell ref="F17:H17"/>
    <mergeCell ref="P17:R17"/>
    <mergeCell ref="T6:AC6"/>
    <mergeCell ref="M12:O12"/>
    <mergeCell ref="U29:AG29"/>
    <mergeCell ref="A13:D13"/>
    <mergeCell ref="M21:O21"/>
    <mergeCell ref="Q6:S6"/>
    <mergeCell ref="I24:K24"/>
    <mergeCell ref="A31:D31"/>
    <mergeCell ref="F22:H22"/>
    <mergeCell ref="P19:R19"/>
    <mergeCell ref="F31:H31"/>
    <mergeCell ref="P28:R28"/>
    <mergeCell ref="U31:AG31"/>
    <mergeCell ref="A15:D15"/>
    <mergeCell ref="AH20:AR20"/>
    <mergeCell ref="I17:K17"/>
    <mergeCell ref="A24:D24"/>
    <mergeCell ref="P12:R12"/>
    <mergeCell ref="M24:O24"/>
    <mergeCell ref="P30:R30"/>
    <mergeCell ref="I10:K10"/>
    <mergeCell ref="S10:T10"/>
    <mergeCell ref="F14:H14"/>
    <mergeCell ref="S19:T19"/>
    <mergeCell ref="P14:R14"/>
    <mergeCell ref="I34:K34"/>
    <mergeCell ref="A16:D16"/>
    <mergeCell ref="U16:AG16"/>
    <mergeCell ref="S30:T30"/>
    <mergeCell ref="AH30:AR30"/>
    <mergeCell ref="U25:AG25"/>
    <mergeCell ref="A27:D27"/>
    <mergeCell ref="E35:AR35"/>
    <mergeCell ref="I36:K36"/>
    <mergeCell ref="S20:T20"/>
    <mergeCell ref="AH32:AR32"/>
    <mergeCell ref="F12:H12"/>
    <mergeCell ref="A33:D33"/>
    <mergeCell ref="F21:H21"/>
    <mergeCell ref="M20:O20"/>
    <mergeCell ref="S22:T22"/>
    <mergeCell ref="U28:AG28"/>
    <mergeCell ref="A17:D17"/>
    <mergeCell ref="Q5:S5"/>
    <mergeCell ref="A22:D22"/>
    <mergeCell ref="I22:K22"/>
    <mergeCell ref="I28:K28"/>
    <mergeCell ref="A35:D35"/>
    <mergeCell ref="S12:T12"/>
    <mergeCell ref="M22:O22"/>
    <mergeCell ref="M31:O31"/>
    <mergeCell ref="E11:AR11"/>
    <mergeCell ref="I12:K12"/>
    <mergeCell ref="A19:D19"/>
    <mergeCell ref="AH24:AR24"/>
    <mergeCell ref="I21:K21"/>
    <mergeCell ref="AH18:AR18"/>
    <mergeCell ref="AH33:AR33"/>
    <mergeCell ref="A28:D28"/>
    <mergeCell ref="M15:O15"/>
    <mergeCell ref="U20:AG20"/>
    <mergeCell ref="M28:O28"/>
    <mergeCell ref="P16:R16"/>
    <mergeCell ref="U14:AG14"/>
    <mergeCell ref="U23:AG23"/>
    <mergeCell ref="AH17:AR17"/>
    <mergeCell ref="I14:K14"/>
    <mergeCell ref="F27:H27"/>
    <mergeCell ref="I23:K23"/>
    <mergeCell ref="A30:D30"/>
    <mergeCell ref="F4:L4"/>
    <mergeCell ref="S23:T23"/>
    <mergeCell ref="P18:R18"/>
    <mergeCell ref="U22:AG22"/>
    <mergeCell ref="M26:O26"/>
    <mergeCell ref="AH10:AR10"/>
    <mergeCell ref="A11:D11"/>
    <mergeCell ref="S13:T13"/>
    <mergeCell ref="AH19:AR19"/>
    <mergeCell ref="M14:O14"/>
    <mergeCell ref="T5:AC5"/>
    <mergeCell ref="M29:O29"/>
    <mergeCell ref="U15:AG15"/>
    <mergeCell ref="M23:O23"/>
    <mergeCell ref="S15:T15"/>
    <mergeCell ref="S24:T24"/>
    <mergeCell ref="S33:T33"/>
    <mergeCell ref="Q7:S7"/>
    <mergeCell ref="F29:H29"/>
    <mergeCell ref="AH36:AR36"/>
    <mergeCell ref="P20:R20"/>
    <mergeCell ref="F25:H25"/>
    <mergeCell ref="P29:R29"/>
    <mergeCell ref="U32:AG32"/>
    <mergeCell ref="I27:K27"/>
    <mergeCell ref="A26:D26"/>
    <mergeCell ref="P22:R22"/>
    <mergeCell ref="P31:R31"/>
    <mergeCell ref="Q1:AC1"/>
    <mergeCell ref="F15:H15"/>
    <mergeCell ref="AH28:AR28"/>
    <mergeCell ref="F24:H24"/>
    <mergeCell ref="I25:K25"/>
    <mergeCell ref="P21:R21"/>
    <mergeCell ref="U24:AG24"/>
    <mergeCell ref="AH13:AR13"/>
    <mergeCell ref="U18:AG18"/>
    <mergeCell ref="U33:AG33"/>
    <mergeCell ref="AH21:AR21"/>
    <mergeCell ref="F32:H32"/>
    <mergeCell ref="T7:AC7"/>
    <mergeCell ref="F26:H26"/>
    <mergeCell ref="P23:R23"/>
    <mergeCell ref="M25:O25"/>
    <mergeCell ref="A10:D10"/>
    <mergeCell ref="M30:O30"/>
    <mergeCell ref="AH23:AR23"/>
    <mergeCell ref="F23:H23"/>
    <mergeCell ref="U10:AG10"/>
    <mergeCell ref="M33:O33"/>
    <mergeCell ref="U19:AG19"/>
    <mergeCell ref="F13:H13"/>
    <mergeCell ref="A34:D34"/>
    <mergeCell ref="M17:O17"/>
    <mergeCell ref="S14:T14"/>
    <mergeCell ref="S28:T28"/>
    <mergeCell ref="I20:K20"/>
    <mergeCell ref="I29:K29"/>
    <mergeCell ref="A36:D36"/>
    <mergeCell ref="M32:O32"/>
    <mergeCell ref="M19:O19"/>
    <mergeCell ref="P33:R33"/>
    <mergeCell ref="I13:K13"/>
    <mergeCell ref="AH34:AR34"/>
    <mergeCell ref="I31:K31"/>
    <mergeCell ref="I15:K15"/>
    <mergeCell ref="AH27:AR27"/>
    <mergeCell ref="F34:H34"/>
    <mergeCell ref="F16:H16"/>
    <mergeCell ref="P25:R25"/>
    <mergeCell ref="A12:D12"/>
    <mergeCell ref="A21:D21"/>
    <mergeCell ref="U13:AG13"/>
    <mergeCell ref="I26:K26"/>
    <mergeCell ref="S32:T32"/>
    <mergeCell ref="F30:H30"/>
    <mergeCell ref="S26:T26"/>
    <mergeCell ref="U21:AG21"/>
    <mergeCell ref="A32:D32"/>
    <mergeCell ref="A14:D14"/>
    <mergeCell ref="F20:H20"/>
    <mergeCell ref="I16:K16"/>
    <mergeCell ref="AH22:AR22"/>
    <mergeCell ref="A23:D23"/>
    <mergeCell ref="S16:T16"/>
    <mergeCell ref="M10:O10"/>
    <mergeCell ref="S25:T25"/>
    <mergeCell ref="AH25:AR25"/>
    <mergeCell ref="AH12:AR12"/>
    <mergeCell ref="M13:O13"/>
    <mergeCell ref="I18:K18"/>
    <mergeCell ref="M16:O16"/>
    <mergeCell ref="S18:T18"/>
    <mergeCell ref="S27:T27"/>
    <mergeCell ref="I33:K33"/>
    <mergeCell ref="AH14:AR14"/>
    <mergeCell ref="S17:T17"/>
    <mergeCell ref="M27:O27"/>
    <mergeCell ref="F28:H28"/>
    <mergeCell ref="P32:R32"/>
    <mergeCell ref="U26:AG26"/>
    <mergeCell ref="M36:O36"/>
    <mergeCell ref="M18:O18"/>
    <mergeCell ref="AH29:AR29"/>
    <mergeCell ref="P13:R13"/>
    <mergeCell ref="U34:AG34"/>
    <mergeCell ref="I19:K19"/>
    <mergeCell ref="AH31:AR31"/>
    <mergeCell ref="P15:R15"/>
    <mergeCell ref="S34:T34"/>
    <mergeCell ref="P24:R24"/>
    <mergeCell ref="U27:AG27"/>
    <mergeCell ref="AH15:AR15"/>
    <mergeCell ref="U36:AG36"/>
    <mergeCell ref="U30:AG30"/>
    <mergeCell ref="A25:D25"/>
    <mergeCell ref="U17:AG17"/>
    <mergeCell ref="M34:O34"/>
    <mergeCell ref="I30:K30"/>
    <mergeCell ref="S36:T36"/>
    <mergeCell ref="P26:R26"/>
    <mergeCell ref="F10:H10"/>
    <mergeCell ref="A18:D18"/>
    <mergeCell ref="F19:H19"/>
    <mergeCell ref="AH26:AR26"/>
    <mergeCell ref="P10:R10"/>
    <mergeCell ref="S29:T29"/>
    <mergeCell ref="F2:O2"/>
    <mergeCell ref="AH16:AR16"/>
    <mergeCell ref="P34:R34"/>
    <mergeCell ref="U12:AG12"/>
    <mergeCell ref="S31:T31"/>
  </mergeCell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2026-10-15T11:48:56Z</dcterms:created>
  <dcterms:modified xmlns:dcterms="http://purl.org/dc/terms/" xmlns:xsi="http://www.w3.org/2001/XMLSchema-instance" xsi:type="dcterms:W3CDTF">2026-10-15T11:48:56Z</dcterms:modified>
</cp:coreProperties>
</file>